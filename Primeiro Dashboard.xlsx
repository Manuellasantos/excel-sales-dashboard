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Nova pasta\Excel Treino\"/>
    </mc:Choice>
  </mc:AlternateContent>
  <xr:revisionPtr revIDLastSave="0" documentId="13_ncr:1_{E748F803-728F-4637-9DEA-1F8D48051642}" xr6:coauthVersionLast="47" xr6:coauthVersionMax="47" xr10:uidLastSave="{00000000-0000-0000-0000-000000000000}"/>
  <bookViews>
    <workbookView xWindow="-108" yWindow="-108" windowWidth="23256" windowHeight="12456" activeTab="5" xr2:uid="{2732302E-08FA-40D1-B395-00AB6304250C}"/>
  </bookViews>
  <sheets>
    <sheet name="Produtos" sheetId="4" r:id="rId1"/>
    <sheet name="Clientes" sheetId="3" r:id="rId2"/>
    <sheet name="Representantes" sheetId="2" r:id="rId3"/>
    <sheet name="Tabela de Vendas" sheetId="1" r:id="rId4"/>
    <sheet name="Dinamica" sheetId="5" r:id="rId5"/>
    <sheet name="dashboard" sheetId="6" r:id="rId6"/>
  </sheets>
  <definedNames>
    <definedName name="cliente">Clientes!$B$1:$C$7</definedName>
    <definedName name="lucro">Dinamica!$F$25</definedName>
    <definedName name="produ">Produtos!$B$2:$E$30</definedName>
    <definedName name="produto">Produtos!$B$1:$E$9</definedName>
    <definedName name="produto_vendido">Dinamica!$J$25</definedName>
    <definedName name="repre">Representantes!$B$2:$C$16</definedName>
    <definedName name="Representantes">Representantes!$B$2:$C$6</definedName>
    <definedName name="SegmentaçãodeDados_Anos__Data_da_Venda">#N/A</definedName>
    <definedName name="valor_total">Dinamica!$B$25</definedName>
    <definedName name="venda_total">Dinamica!$H$25</definedName>
  </definedNames>
  <calcPr calcId="181029"/>
  <pivotCaches>
    <pivotCache cacheId="0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D3" i="1" s="1"/>
  <c r="D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C4" i="1"/>
  <c r="Q12" i="1"/>
  <c r="Q10" i="1"/>
  <c r="Q8" i="1"/>
  <c r="Q6" i="1"/>
  <c r="Q3" i="1"/>
  <c r="Q4" i="1"/>
  <c r="Q5" i="1"/>
  <c r="Q7" i="1"/>
  <c r="Q9" i="1"/>
  <c r="Q11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2" i="1"/>
  <c r="K3" i="1"/>
  <c r="N3" i="1" s="1"/>
  <c r="K2" i="1"/>
  <c r="N2" i="1" s="1"/>
  <c r="J2" i="1"/>
  <c r="M2" i="1" s="1"/>
  <c r="I3" i="1"/>
  <c r="I2" i="1"/>
  <c r="B30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H3" i="1"/>
  <c r="J3" i="1" s="1"/>
  <c r="M3" i="1" s="1"/>
  <c r="G2" i="1"/>
  <c r="F4" i="1"/>
  <c r="F5" i="1" s="1"/>
  <c r="G5" i="1" s="1"/>
  <c r="F3" i="1"/>
  <c r="G3" i="1" s="1"/>
  <c r="C6" i="1"/>
  <c r="E3" i="1" l="1"/>
  <c r="O2" i="1"/>
  <c r="F6" i="1"/>
  <c r="G4" i="1"/>
  <c r="O3" i="1"/>
  <c r="H4" i="1"/>
  <c r="C7" i="1"/>
  <c r="C8" i="1"/>
  <c r="C5" i="1"/>
  <c r="G6" i="1" l="1"/>
  <c r="F8" i="1"/>
  <c r="F7" i="1"/>
  <c r="G7" i="1" s="1"/>
  <c r="H5" i="1"/>
  <c r="I4" i="1"/>
  <c r="K4" i="1"/>
  <c r="N4" i="1" s="1"/>
  <c r="J4" i="1"/>
  <c r="M4" i="1" s="1"/>
  <c r="C9" i="1"/>
  <c r="C10" i="1"/>
  <c r="F9" i="1" l="1"/>
  <c r="G9" i="1" s="1"/>
  <c r="G8" i="1"/>
  <c r="F10" i="1"/>
  <c r="I5" i="1"/>
  <c r="H6" i="1"/>
  <c r="K5" i="1"/>
  <c r="N5" i="1" s="1"/>
  <c r="J5" i="1"/>
  <c r="M5" i="1" s="1"/>
  <c r="O4" i="1"/>
  <c r="C11" i="1"/>
  <c r="C12" i="1"/>
  <c r="C14" i="1" l="1"/>
  <c r="F12" i="1"/>
  <c r="F11" i="1"/>
  <c r="G11" i="1" s="1"/>
  <c r="G10" i="1"/>
  <c r="O5" i="1"/>
  <c r="H7" i="1"/>
  <c r="I6" i="1"/>
  <c r="J6" i="1"/>
  <c r="M6" i="1" s="1"/>
  <c r="K6" i="1"/>
  <c r="N6" i="1" s="1"/>
  <c r="C13" i="1"/>
  <c r="C15" i="1" l="1"/>
  <c r="G12" i="1"/>
  <c r="F13" i="1"/>
  <c r="G13" i="1" s="1"/>
  <c r="F14" i="1"/>
  <c r="O6" i="1"/>
  <c r="H8" i="1"/>
  <c r="J7" i="1"/>
  <c r="M7" i="1" s="1"/>
  <c r="I7" i="1"/>
  <c r="K7" i="1"/>
  <c r="N7" i="1" s="1"/>
  <c r="O7" i="1" s="1"/>
  <c r="C16" i="1"/>
  <c r="G14" i="1" l="1"/>
  <c r="F16" i="1"/>
  <c r="F15" i="1"/>
  <c r="G15" i="1" s="1"/>
  <c r="H9" i="1"/>
  <c r="K8" i="1"/>
  <c r="N8" i="1" s="1"/>
  <c r="J8" i="1"/>
  <c r="M8" i="1" s="1"/>
  <c r="I8" i="1"/>
  <c r="C18" i="1"/>
  <c r="C17" i="1"/>
  <c r="G16" i="1" l="1"/>
  <c r="F17" i="1"/>
  <c r="G17" i="1" s="1"/>
  <c r="F18" i="1"/>
  <c r="O8" i="1"/>
  <c r="H10" i="1"/>
  <c r="J9" i="1"/>
  <c r="M9" i="1" s="1"/>
  <c r="K9" i="1"/>
  <c r="N9" i="1" s="1"/>
  <c r="I9" i="1"/>
  <c r="C20" i="1"/>
  <c r="O9" i="1" l="1"/>
  <c r="G18" i="1"/>
  <c r="F19" i="1"/>
  <c r="G19" i="1" s="1"/>
  <c r="F20" i="1"/>
  <c r="H11" i="1"/>
  <c r="I10" i="1"/>
  <c r="K10" i="1"/>
  <c r="N10" i="1" s="1"/>
  <c r="J10" i="1"/>
  <c r="M10" i="1" s="1"/>
  <c r="C22" i="1"/>
  <c r="C21" i="1"/>
  <c r="O10" i="1" l="1"/>
  <c r="G20" i="1"/>
  <c r="F22" i="1"/>
  <c r="F21" i="1"/>
  <c r="G21" i="1" s="1"/>
  <c r="H12" i="1"/>
  <c r="J11" i="1"/>
  <c r="M11" i="1" s="1"/>
  <c r="I11" i="1"/>
  <c r="K11" i="1"/>
  <c r="N11" i="1" s="1"/>
  <c r="O11" i="1" s="1"/>
  <c r="C24" i="1"/>
  <c r="G22" i="1" l="1"/>
  <c r="F23" i="1"/>
  <c r="G23" i="1" s="1"/>
  <c r="F24" i="1"/>
  <c r="H13" i="1"/>
  <c r="I12" i="1"/>
  <c r="K12" i="1"/>
  <c r="N12" i="1" s="1"/>
  <c r="J12" i="1"/>
  <c r="M12" i="1" s="1"/>
  <c r="C26" i="1"/>
  <c r="G24" i="1" l="1"/>
  <c r="F25" i="1"/>
  <c r="G25" i="1" s="1"/>
  <c r="F26" i="1"/>
  <c r="O12" i="1"/>
  <c r="H14" i="1"/>
  <c r="I13" i="1"/>
  <c r="K13" i="1"/>
  <c r="N13" i="1" s="1"/>
  <c r="J13" i="1"/>
  <c r="M13" i="1" s="1"/>
  <c r="C28" i="1"/>
  <c r="G26" i="1" l="1"/>
  <c r="F27" i="1"/>
  <c r="G27" i="1" s="1"/>
  <c r="F28" i="1"/>
  <c r="O13" i="1"/>
  <c r="H15" i="1"/>
  <c r="K14" i="1"/>
  <c r="N14" i="1" s="1"/>
  <c r="I14" i="1"/>
  <c r="J14" i="1"/>
  <c r="M14" i="1" s="1"/>
  <c r="C30" i="1"/>
  <c r="G28" i="1" l="1"/>
  <c r="F30" i="1"/>
  <c r="G30" i="1" s="1"/>
  <c r="F29" i="1"/>
  <c r="G29" i="1" s="1"/>
  <c r="O14" i="1"/>
  <c r="H16" i="1"/>
  <c r="J15" i="1"/>
  <c r="M15" i="1" s="1"/>
  <c r="I15" i="1"/>
  <c r="K15" i="1"/>
  <c r="N15" i="1" s="1"/>
  <c r="O15" i="1" l="1"/>
  <c r="H17" i="1"/>
  <c r="I16" i="1"/>
  <c r="K16" i="1"/>
  <c r="N16" i="1" s="1"/>
  <c r="J16" i="1"/>
  <c r="M16" i="1" s="1"/>
  <c r="O16" i="1" l="1"/>
  <c r="H18" i="1"/>
  <c r="I17" i="1"/>
  <c r="K17" i="1"/>
  <c r="N17" i="1" s="1"/>
  <c r="J17" i="1"/>
  <c r="M17" i="1" s="1"/>
  <c r="O17" i="1" l="1"/>
  <c r="H19" i="1"/>
  <c r="I18" i="1"/>
  <c r="J18" i="1"/>
  <c r="M18" i="1" s="1"/>
  <c r="K18" i="1"/>
  <c r="N18" i="1" s="1"/>
  <c r="O18" i="1" l="1"/>
  <c r="H20" i="1"/>
  <c r="J19" i="1"/>
  <c r="M19" i="1" s="1"/>
  <c r="K19" i="1"/>
  <c r="N19" i="1" s="1"/>
  <c r="O19" i="1" s="1"/>
  <c r="I19" i="1"/>
  <c r="H21" i="1" l="1"/>
  <c r="K20" i="1"/>
  <c r="N20" i="1" s="1"/>
  <c r="J20" i="1"/>
  <c r="M20" i="1" s="1"/>
  <c r="I20" i="1"/>
  <c r="O20" i="1" l="1"/>
  <c r="H22" i="1"/>
  <c r="J21" i="1"/>
  <c r="M21" i="1" s="1"/>
  <c r="K21" i="1"/>
  <c r="N21" i="1" s="1"/>
  <c r="O21" i="1" s="1"/>
  <c r="I21" i="1"/>
  <c r="H23" i="1" l="1"/>
  <c r="I22" i="1"/>
  <c r="J22" i="1"/>
  <c r="M22" i="1" s="1"/>
  <c r="K22" i="1"/>
  <c r="N22" i="1" s="1"/>
  <c r="O22" i="1" l="1"/>
  <c r="H24" i="1"/>
  <c r="J23" i="1"/>
  <c r="M23" i="1" s="1"/>
  <c r="I23" i="1"/>
  <c r="K23" i="1"/>
  <c r="N23" i="1" s="1"/>
  <c r="O23" i="1" s="1"/>
  <c r="H25" i="1" l="1"/>
  <c r="I24" i="1"/>
  <c r="K24" i="1"/>
  <c r="N24" i="1" s="1"/>
  <c r="J24" i="1"/>
  <c r="M24" i="1" s="1"/>
  <c r="O24" i="1" l="1"/>
  <c r="H26" i="1"/>
  <c r="K25" i="1"/>
  <c r="N25" i="1" s="1"/>
  <c r="I25" i="1"/>
  <c r="J25" i="1"/>
  <c r="M25" i="1" s="1"/>
  <c r="O25" i="1" l="1"/>
  <c r="H27" i="1"/>
  <c r="K26" i="1"/>
  <c r="N26" i="1" s="1"/>
  <c r="I26" i="1"/>
  <c r="J26" i="1"/>
  <c r="M26" i="1" s="1"/>
  <c r="O26" i="1" l="1"/>
  <c r="H28" i="1"/>
  <c r="J27" i="1"/>
  <c r="M27" i="1" s="1"/>
  <c r="I27" i="1"/>
  <c r="K27" i="1"/>
  <c r="N27" i="1" s="1"/>
  <c r="O27" i="1" s="1"/>
  <c r="H29" i="1" l="1"/>
  <c r="I28" i="1"/>
  <c r="K28" i="1"/>
  <c r="N28" i="1" s="1"/>
  <c r="J28" i="1"/>
  <c r="M28" i="1" s="1"/>
  <c r="O28" i="1" l="1"/>
  <c r="H30" i="1"/>
  <c r="I29" i="1"/>
  <c r="J29" i="1"/>
  <c r="M29" i="1" s="1"/>
  <c r="K29" i="1"/>
  <c r="N29" i="1" s="1"/>
  <c r="O29" i="1" l="1"/>
  <c r="I30" i="1"/>
  <c r="J30" i="1"/>
  <c r="M30" i="1" s="1"/>
  <c r="K30" i="1"/>
  <c r="N30" i="1" s="1"/>
  <c r="O30" i="1" l="1"/>
</calcChain>
</file>

<file path=xl/sharedStrings.xml><?xml version="1.0" encoding="utf-8"?>
<sst xmlns="http://schemas.openxmlformats.org/spreadsheetml/2006/main" count="264" uniqueCount="130">
  <si>
    <t>ID_Pedido</t>
  </si>
  <si>
    <t>Data da Venda</t>
  </si>
  <si>
    <t>ID_Representantes</t>
  </si>
  <si>
    <t>Nome_representante</t>
  </si>
  <si>
    <t>Id_Produto</t>
  </si>
  <si>
    <t>Nome_produto</t>
  </si>
  <si>
    <t>Custo</t>
  </si>
  <si>
    <t>Valor_produto</t>
  </si>
  <si>
    <t>Quantidade_venda</t>
  </si>
  <si>
    <t>Custo_total_venda</t>
  </si>
  <si>
    <t>Valor_total_venda</t>
  </si>
  <si>
    <t>D00001</t>
  </si>
  <si>
    <t>D00002</t>
  </si>
  <si>
    <t>D00003</t>
  </si>
  <si>
    <t>D00004</t>
  </si>
  <si>
    <t>D00005</t>
  </si>
  <si>
    <t>D00006</t>
  </si>
  <si>
    <t>D00007</t>
  </si>
  <si>
    <t>D00008</t>
  </si>
  <si>
    <t>D00009</t>
  </si>
  <si>
    <t>D00010</t>
  </si>
  <si>
    <t>D00011</t>
  </si>
  <si>
    <t>D00012</t>
  </si>
  <si>
    <t>D00013</t>
  </si>
  <si>
    <t>D00014</t>
  </si>
  <si>
    <t>D00015</t>
  </si>
  <si>
    <t>D00016</t>
  </si>
  <si>
    <t>D00017</t>
  </si>
  <si>
    <t>D00018</t>
  </si>
  <si>
    <t>D00019</t>
  </si>
  <si>
    <t>D00020</t>
  </si>
  <si>
    <t>D00021</t>
  </si>
  <si>
    <t>D00022</t>
  </si>
  <si>
    <t>D00023</t>
  </si>
  <si>
    <t>D00024</t>
  </si>
  <si>
    <t>D00025</t>
  </si>
  <si>
    <t>D00026</t>
  </si>
  <si>
    <t>D00027</t>
  </si>
  <si>
    <t>D00028</t>
  </si>
  <si>
    <t>D00029</t>
  </si>
  <si>
    <t>ID_Representante</t>
  </si>
  <si>
    <t>Nome_Representante</t>
  </si>
  <si>
    <t>Amelia</t>
  </si>
  <si>
    <t>Bruno</t>
  </si>
  <si>
    <t>Jão</t>
  </si>
  <si>
    <t>Fernanda</t>
  </si>
  <si>
    <t>Camila</t>
  </si>
  <si>
    <t>Cod Cliente</t>
  </si>
  <si>
    <t>Cliente</t>
  </si>
  <si>
    <t>Judas</t>
  </si>
  <si>
    <t>Sam</t>
  </si>
  <si>
    <t>Dean</t>
  </si>
  <si>
    <t>Pritt</t>
  </si>
  <si>
    <t>Adobe</t>
  </si>
  <si>
    <t>Manu</t>
  </si>
  <si>
    <t>marcelo</t>
  </si>
  <si>
    <t>marcela</t>
  </si>
  <si>
    <t>uno</t>
  </si>
  <si>
    <t>luna</t>
  </si>
  <si>
    <t>sofia</t>
  </si>
  <si>
    <t>armando</t>
  </si>
  <si>
    <t>gerdrudes</t>
  </si>
  <si>
    <t>gabi</t>
  </si>
  <si>
    <t>amanda</t>
  </si>
  <si>
    <t>xuxa</t>
  </si>
  <si>
    <t>ID Produto</t>
  </si>
  <si>
    <t>Descrição</t>
  </si>
  <si>
    <t>Preço Venda</t>
  </si>
  <si>
    <t>Custo Produção</t>
  </si>
  <si>
    <t>Tênis de corrida</t>
  </si>
  <si>
    <t>Calça Legging</t>
  </si>
  <si>
    <t xml:space="preserve">Bermuda </t>
  </si>
  <si>
    <t>Mochila</t>
  </si>
  <si>
    <t>Jaqueta</t>
  </si>
  <si>
    <t>Short</t>
  </si>
  <si>
    <t>Chinelo</t>
  </si>
  <si>
    <t>Bolsa</t>
  </si>
  <si>
    <t>aranha</t>
  </si>
  <si>
    <t>colar</t>
  </si>
  <si>
    <t>regata</t>
  </si>
  <si>
    <t>pircn</t>
  </si>
  <si>
    <t>gola</t>
  </si>
  <si>
    <t>blusa de frio</t>
  </si>
  <si>
    <t>vestido</t>
  </si>
  <si>
    <t>argola</t>
  </si>
  <si>
    <t>saia</t>
  </si>
  <si>
    <t xml:space="preserve">saia </t>
  </si>
  <si>
    <t>short saia</t>
  </si>
  <si>
    <t>vestido innfantil</t>
  </si>
  <si>
    <t>sandalha</t>
  </si>
  <si>
    <t>chinelo</t>
  </si>
  <si>
    <t>rasterinha</t>
  </si>
  <si>
    <t>sapato</t>
  </si>
  <si>
    <t>capus</t>
  </si>
  <si>
    <t>bone</t>
  </si>
  <si>
    <t>cinto</t>
  </si>
  <si>
    <t>cinto rosa</t>
  </si>
  <si>
    <t>Lucro</t>
  </si>
  <si>
    <t>Códig Cliente</t>
  </si>
  <si>
    <t>Nome Cliente</t>
  </si>
  <si>
    <t>Brasília</t>
  </si>
  <si>
    <t>Recife</t>
  </si>
  <si>
    <t>Belém</t>
  </si>
  <si>
    <t>Cuiabá</t>
  </si>
  <si>
    <t>Sul</t>
  </si>
  <si>
    <t>Norte</t>
  </si>
  <si>
    <t>Nordeste</t>
  </si>
  <si>
    <t>Estado</t>
  </si>
  <si>
    <t>Cidade</t>
  </si>
  <si>
    <t>Região</t>
  </si>
  <si>
    <t>Distrito Federal</t>
  </si>
  <si>
    <t>São Paulo</t>
  </si>
  <si>
    <t>Curitiba</t>
  </si>
  <si>
    <t>Paraná</t>
  </si>
  <si>
    <t>Manaus</t>
  </si>
  <si>
    <t>Amazonas</t>
  </si>
  <si>
    <t>Pernambuco</t>
  </si>
  <si>
    <t>Pará</t>
  </si>
  <si>
    <t>Mato Grosso</t>
  </si>
  <si>
    <t>Sudeste</t>
  </si>
  <si>
    <t>Centro-Oeste</t>
  </si>
  <si>
    <t>Rótulos de Coluna</t>
  </si>
  <si>
    <t>Total Geral</t>
  </si>
  <si>
    <t>Soma de Valor_total_venda</t>
  </si>
  <si>
    <t>Rótulos de Linha</t>
  </si>
  <si>
    <t>Mês</t>
  </si>
  <si>
    <t>Ano</t>
  </si>
  <si>
    <t>2026</t>
  </si>
  <si>
    <t>Soma de Lucro</t>
  </si>
  <si>
    <t>Soma de Quantidade_venda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</si>
</sst>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[$-F400]h:mm:ss\ AM/PM"/>
    <numFmt numFmtId="165" formatCode="#,#00&quot;M&quot;"/>
    <numFmt numFmtId="166" formatCode="0,&quot;k&quot;"/>
  </numFmts>
  <fonts count="4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A7E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4" fontId="2" fillId="2" borderId="0" xfId="0" applyNumberFormat="1" applyFont="1" applyFill="1" applyAlignment="1">
      <alignment horizontal="center"/>
    </xf>
    <xf numFmtId="14" fontId="0" fillId="0" borderId="0" xfId="0" applyNumberFormat="1"/>
    <xf numFmtId="164" fontId="2" fillId="2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49" fontId="2" fillId="2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5" borderId="0" xfId="0" applyFill="1"/>
    <xf numFmtId="0" fontId="0" fillId="6" borderId="0" xfId="0" applyFill="1"/>
    <xf numFmtId="0" fontId="0" fillId="7" borderId="0" xfId="0" applyFill="1"/>
    <xf numFmtId="165" fontId="0" fillId="0" borderId="0" xfId="0" applyNumberFormat="1"/>
    <xf numFmtId="166" fontId="0" fillId="0" borderId="0" xfId="0" pivotButton="1" applyNumberFormat="1"/>
    <xf numFmtId="166" fontId="0" fillId="0" borderId="0" xfId="0" applyNumberFormat="1"/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33">
    <dxf>
      <numFmt numFmtId="34" formatCode="_-&quot;R$&quot;\ * #,##0.00_-;\-&quot;R$&quot;\ * #,##0.00_-;_-&quot;R$&quot;\ * &quot;-&quot;??_-;_-@_-"/>
    </dxf>
    <dxf>
      <numFmt numFmtId="166" formatCode="0,&quot;k&quot;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165" formatCode="#,#00&quot;M&quot;"/>
    </dxf>
    <dxf>
      <numFmt numFmtId="165" formatCode="#,#00&quot;M&quot;"/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164" formatCode="[$-F400]h:mm:ss\ AM/PM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sz val="12"/>
        <color theme="0"/>
      </font>
      <border>
        <bottom style="thin">
          <color theme="4"/>
        </bottom>
        <vertical/>
        <horizontal/>
      </border>
    </dxf>
    <dxf>
      <font>
        <color theme="0"/>
        <name val="centary"/>
      </font>
      <fill>
        <patternFill>
          <bgColor rgb="FFFF3399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rosinha" pivot="0" table="0" count="10" xr9:uid="{1F6D3881-BEFC-4173-82AF-C17EBE5946D4}">
      <tableStyleElement type="wholeTable" dxfId="32"/>
      <tableStyleElement type="headerRow" dxfId="31"/>
    </tableStyle>
  </tableStyles>
  <colors>
    <mruColors>
      <color rgb="FFFF3399"/>
      <color rgb="FFFF33CC"/>
      <color rgb="FFCC0066"/>
      <color rgb="FFFF66FF"/>
      <color rgb="FF9900FF"/>
      <color rgb="FFFFA7E8"/>
      <color rgb="FF800080"/>
      <color rgb="FF6600CC"/>
      <color rgb="FFFF99FF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4" tint="0.79998168889431442"/>
              <bgColor theme="4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4" tint="0.59999389629810485"/>
              <bgColor theme="4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rosinha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 Dashboard.xlsx]Dinamica!Tabela dinâmica6</c:name>
    <c:fmtId val="2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FFA7E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rgbClr val="FF3399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66F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FFA7E8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600C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CC006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9900F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FF66F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9900FF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CC00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7908575396909188E-2"/>
              <c:y val="-0.2162243961414073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FF3399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FF66FF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rgbClr val="7030A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rgbClr val="800080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33CC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242134386795379"/>
          <c:y val="0.16670261917436088"/>
          <c:w val="0.40445268581420107"/>
          <c:h val="0.7776785780195391"/>
        </c:manualLayout>
      </c:layout>
      <c:pieChart>
        <c:varyColors val="1"/>
        <c:ser>
          <c:idx val="0"/>
          <c:order val="0"/>
          <c:tx>
            <c:strRef>
              <c:f>Dinamica!$U$3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rgbClr val="FFA7E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0F-4027-9219-23EC2B4F3FDB}"/>
              </c:ext>
            </c:extLst>
          </c:dPt>
          <c:dPt>
            <c:idx val="1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0F-4027-9219-23EC2B4F3FDB}"/>
              </c:ext>
            </c:extLst>
          </c:dPt>
          <c:dPt>
            <c:idx val="2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0F-4027-9219-23EC2B4F3FDB}"/>
              </c:ext>
            </c:extLst>
          </c:dPt>
          <c:dPt>
            <c:idx val="3"/>
            <c:bubble3D val="0"/>
            <c:spPr>
              <a:solidFill>
                <a:srgbClr val="FFA7E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90F-4027-9219-23EC2B4F3FDB}"/>
              </c:ext>
            </c:extLst>
          </c:dPt>
          <c:dPt>
            <c:idx val="4"/>
            <c:bubble3D val="0"/>
            <c:spPr>
              <a:solidFill>
                <a:srgbClr val="6600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90F-4027-9219-23EC2B4F3FDB}"/>
              </c:ext>
            </c:extLst>
          </c:dPt>
          <c:dPt>
            <c:idx val="5"/>
            <c:bubble3D val="0"/>
            <c:spPr>
              <a:solidFill>
                <a:srgbClr val="CC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90F-4027-9219-23EC2B4F3FDB}"/>
              </c:ext>
            </c:extLst>
          </c:dPt>
          <c:dPt>
            <c:idx val="6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90F-4027-9219-23EC2B4F3FDB}"/>
              </c:ext>
            </c:extLst>
          </c:dPt>
          <c:dPt>
            <c:idx val="7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90F-4027-9219-23EC2B4F3FDB}"/>
              </c:ext>
            </c:extLst>
          </c:dPt>
          <c:dPt>
            <c:idx val="8"/>
            <c:bubble3D val="0"/>
            <c:spPr>
              <a:solidFill>
                <a:srgbClr val="9900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90F-4027-9219-23EC2B4F3FDB}"/>
              </c:ext>
            </c:extLst>
          </c:dPt>
          <c:dPt>
            <c:idx val="9"/>
            <c:bubble3D val="0"/>
            <c:spPr>
              <a:solidFill>
                <a:srgbClr val="CC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90F-4027-9219-23EC2B4F3FDB}"/>
              </c:ext>
            </c:extLst>
          </c:dPt>
          <c:dPt>
            <c:idx val="10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90F-4027-9219-23EC2B4F3FDB}"/>
              </c:ext>
            </c:extLst>
          </c:dPt>
          <c:dPt>
            <c:idx val="11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90F-4027-9219-23EC2B4F3FDB}"/>
              </c:ext>
            </c:extLst>
          </c:dPt>
          <c:dPt>
            <c:idx val="12"/>
            <c:bubble3D val="0"/>
            <c:spPr>
              <a:solidFill>
                <a:srgbClr val="7030A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90F-4027-9219-23EC2B4F3FDB}"/>
              </c:ext>
            </c:extLst>
          </c:dPt>
          <c:dPt>
            <c:idx val="13"/>
            <c:bubble3D val="0"/>
            <c:spPr>
              <a:solidFill>
                <a:srgbClr val="80008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90F-4027-9219-23EC2B4F3FDB}"/>
              </c:ext>
            </c:extLst>
          </c:dPt>
          <c:dPt>
            <c:idx val="14"/>
            <c:bubble3D val="0"/>
            <c:spPr>
              <a:solidFill>
                <a:srgbClr val="FF33C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90F-4027-9219-23EC2B4F3FDB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0F-4027-9219-23EC2B4F3FDB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0F-4027-9219-23EC2B4F3FD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0F-4027-9219-23EC2B4F3FD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90F-4027-9219-23EC2B4F3FD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0F-4027-9219-23EC2B4F3FDB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90F-4027-9219-23EC2B4F3FDB}"/>
                </c:ext>
              </c:extLst>
            </c:dLbl>
            <c:dLbl>
              <c:idx val="9"/>
              <c:layout>
                <c:manualLayout>
                  <c:x val="2.7908575396909188E-2"/>
                  <c:y val="-0.21622439614140737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490F-4027-9219-23EC2B4F3FDB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90F-4027-9219-23EC2B4F3FDB}"/>
                </c:ext>
              </c:extLst>
            </c:dLbl>
            <c:dLbl>
              <c:idx val="1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490F-4027-9219-23EC2B4F3FDB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490F-4027-9219-23EC2B4F3FDB}"/>
                </c:ext>
              </c:extLst>
            </c:dLbl>
            <c:dLbl>
              <c:idx val="1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490F-4027-9219-23EC2B4F3FD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Dinamica!$T$4:$T$19</c:f>
              <c:strCache>
                <c:ptCount val="15"/>
                <c:pt idx="0">
                  <c:v>amanda</c:v>
                </c:pt>
                <c:pt idx="1">
                  <c:v>Amelia</c:v>
                </c:pt>
                <c:pt idx="2">
                  <c:v>armando</c:v>
                </c:pt>
                <c:pt idx="3">
                  <c:v>Bruno</c:v>
                </c:pt>
                <c:pt idx="4">
                  <c:v>Camila</c:v>
                </c:pt>
                <c:pt idx="5">
                  <c:v>Fernanda</c:v>
                </c:pt>
                <c:pt idx="6">
                  <c:v>gabi</c:v>
                </c:pt>
                <c:pt idx="7">
                  <c:v>gerdrudes</c:v>
                </c:pt>
                <c:pt idx="8">
                  <c:v>Jão</c:v>
                </c:pt>
                <c:pt idx="9">
                  <c:v>luna</c:v>
                </c:pt>
                <c:pt idx="10">
                  <c:v>marcela</c:v>
                </c:pt>
                <c:pt idx="11">
                  <c:v>marcelo</c:v>
                </c:pt>
                <c:pt idx="12">
                  <c:v>sofia</c:v>
                </c:pt>
                <c:pt idx="13">
                  <c:v>uno</c:v>
                </c:pt>
                <c:pt idx="14">
                  <c:v>xuxa</c:v>
                </c:pt>
              </c:strCache>
            </c:strRef>
          </c:cat>
          <c:val>
            <c:numRef>
              <c:f>Dinamica!$U$4:$U$19</c:f>
              <c:numCache>
                <c:formatCode>_("R$"* #,##0.00_);_("R$"* \(#,##0.00\);_("R$"* "-"??_);_(@_)</c:formatCode>
                <c:ptCount val="15"/>
                <c:pt idx="0">
                  <c:v>6052</c:v>
                </c:pt>
                <c:pt idx="1">
                  <c:v>9588</c:v>
                </c:pt>
                <c:pt idx="2">
                  <c:v>22644</c:v>
                </c:pt>
                <c:pt idx="3">
                  <c:v>4522</c:v>
                </c:pt>
                <c:pt idx="4">
                  <c:v>7174</c:v>
                </c:pt>
                <c:pt idx="5">
                  <c:v>7459</c:v>
                </c:pt>
                <c:pt idx="6">
                  <c:v>26486</c:v>
                </c:pt>
                <c:pt idx="7">
                  <c:v>23732</c:v>
                </c:pt>
                <c:pt idx="8">
                  <c:v>7254</c:v>
                </c:pt>
                <c:pt idx="9">
                  <c:v>201036</c:v>
                </c:pt>
                <c:pt idx="10">
                  <c:v>56720</c:v>
                </c:pt>
                <c:pt idx="11">
                  <c:v>11356</c:v>
                </c:pt>
                <c:pt idx="12">
                  <c:v>19584</c:v>
                </c:pt>
                <c:pt idx="13">
                  <c:v>13344</c:v>
                </c:pt>
                <c:pt idx="14">
                  <c:v>4114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490F-4027-9219-23EC2B4F3F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 Dashboard.xlsx]Dinamica!Tabela dinâmica5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CC0066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109526757316369E-3"/>
              <c:y val="1.842522815123377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FF99F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FF66FF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7773816893290928E-3"/>
              <c:y val="3.070895538628418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8.3443123359019794E-2"/>
                  <c:h val="0.11353035592608049"/>
                </c:manualLayout>
              </c15:layout>
            </c:ext>
          </c:extLst>
        </c:dLbl>
      </c:pivotFmt>
      <c:pivotFmt>
        <c:idx val="18"/>
        <c:spPr>
          <a:solidFill>
            <a:srgbClr val="FF3399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8224838303413241"/>
          <c:y val="0.18815591515109897"/>
          <c:w val="0.33517962729737227"/>
          <c:h val="0.75935926631805428"/>
        </c:manualLayout>
      </c:layout>
      <c:doughnutChart>
        <c:varyColors val="1"/>
        <c:ser>
          <c:idx val="0"/>
          <c:order val="0"/>
          <c:tx>
            <c:strRef>
              <c:f>Dinamica!$R$3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99FF"/>
            </a:solidFill>
          </c:spPr>
          <c:dPt>
            <c:idx val="0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F34-4D11-AA23-C6E3E17A86BA}"/>
              </c:ext>
            </c:extLst>
          </c:dPt>
          <c:dPt>
            <c:idx val="1"/>
            <c:bubble3D val="0"/>
            <c:spPr>
              <a:solidFill>
                <a:srgbClr val="CC00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F34-4D11-AA23-C6E3E17A86BA}"/>
              </c:ext>
            </c:extLst>
          </c:dPt>
          <c:dPt>
            <c:idx val="2"/>
            <c:bubble3D val="0"/>
            <c:spPr>
              <a:solidFill>
                <a:srgbClr val="FF99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F34-4D11-AA23-C6E3E17A86BA}"/>
              </c:ext>
            </c:extLst>
          </c:dPt>
          <c:dPt>
            <c:idx val="3"/>
            <c:bubble3D val="0"/>
            <c:spPr>
              <a:solidFill>
                <a:srgbClr val="FF66F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34-4D11-AA23-C6E3E17A86BA}"/>
              </c:ext>
            </c:extLst>
          </c:dPt>
          <c:dPt>
            <c:idx val="4"/>
            <c:bubble3D val="0"/>
            <c:spPr>
              <a:solidFill>
                <a:srgbClr val="FF339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34-4D11-AA23-C6E3E17A86BA}"/>
              </c:ext>
            </c:extLst>
          </c:dPt>
          <c:dLbls>
            <c:dLbl>
              <c:idx val="1"/>
              <c:layout>
                <c:manualLayout>
                  <c:x val="-2.7109526757316369E-3"/>
                  <c:y val="1.842522815123377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F34-4D11-AA23-C6E3E17A86BA}"/>
                </c:ext>
              </c:extLst>
            </c:dLbl>
            <c:dLbl>
              <c:idx val="3"/>
              <c:layout>
                <c:manualLayout>
                  <c:x val="6.7773816893290928E-3"/>
                  <c:y val="3.07089553862841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443123359019794E-2"/>
                      <c:h val="0.1135303559260804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F34-4D11-AA23-C6E3E17A86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Dinamica!$Q$4:$Q$9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Dinamica!$R$4:$R$9</c:f>
              <c:numCache>
                <c:formatCode>_("R$"* #,##0.00_);_("R$"* \(#,##0.00\);_("R$"* "-"??_);_(@_)</c:formatCode>
                <c:ptCount val="5"/>
                <c:pt idx="0">
                  <c:v>42593</c:v>
                </c:pt>
                <c:pt idx="1">
                  <c:v>131811</c:v>
                </c:pt>
                <c:pt idx="2">
                  <c:v>31453</c:v>
                </c:pt>
                <c:pt idx="3">
                  <c:v>180954</c:v>
                </c:pt>
                <c:pt idx="4">
                  <c:v>34254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F34-4D11-AA23-C6E3E17A86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9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 Dashboard.xlsx]Dinamica!Tabela dinâmica2</c:name>
    <c:fmtId val="3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239031234345767"/>
          <c:y val="0.21503021125785479"/>
          <c:w val="0.82902655502554234"/>
          <c:h val="0.63120278714495381"/>
        </c:manualLayout>
      </c:layout>
      <c:areaChart>
        <c:grouping val="standard"/>
        <c:varyColors val="0"/>
        <c:ser>
          <c:idx val="0"/>
          <c:order val="0"/>
          <c:tx>
            <c:strRef>
              <c:f>Dinamica!$G$3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Dinamica!$F$4:$F$5</c:f>
              <c:strCache>
                <c:ptCount val="1"/>
                <c:pt idx="0">
                  <c:v>2026</c:v>
                </c:pt>
              </c:strCache>
            </c:strRef>
          </c:cat>
          <c:val>
            <c:numRef>
              <c:f>Dinamica!$G$4:$G$5</c:f>
              <c:numCache>
                <c:formatCode>_("R$"* #,##0.00_);_("R$"* \(#,##0.00\);_("R$"* "-"??_);_(@_)</c:formatCode>
                <c:ptCount val="1"/>
                <c:pt idx="0">
                  <c:v>421065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76-4E3F-83B5-96DCD8F390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206592"/>
        <c:axId val="2083213312"/>
      </c:areaChart>
      <c:catAx>
        <c:axId val="208320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2083213312"/>
        <c:crosses val="autoZero"/>
        <c:auto val="1"/>
        <c:lblAlgn val="ctr"/>
        <c:lblOffset val="100"/>
        <c:noMultiLvlLbl val="0"/>
      </c:catAx>
      <c:valAx>
        <c:axId val="20832133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20832065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 Dashboard.xlsx]Dinamica!Tabela dinâmica4</c:name>
    <c:fmtId val="3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CC006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FFA7E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FF33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FF99F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rgbClr val="FF99FF"/>
          </a:solidFill>
          <a:ln>
            <a:noFill/>
          </a:ln>
          <a:effectLst/>
        </c:spPr>
        <c:dLbl>
          <c:idx val="0"/>
          <c:layout>
            <c:manualLayout>
              <c:x val="0"/>
              <c:y val="5.107447422448232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FF99F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FFA7E8"/>
          </a:solidFill>
          <a:ln>
            <a:noFill/>
          </a:ln>
          <a:effectLst/>
        </c:spPr>
        <c:dLbl>
          <c:idx val="0"/>
          <c:layout>
            <c:manualLayout>
              <c:x val="1.6566204160856233E-3"/>
              <c:y val="-0.1276861855612059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CC0066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2635422196887379E-2"/>
                  <c:h val="0.17613052544373461"/>
                </c:manualLayout>
              </c15:layout>
            </c:ext>
          </c:extLst>
        </c:dLbl>
      </c:pivotFmt>
      <c:pivotFmt>
        <c:idx val="29"/>
        <c:spPr>
          <a:solidFill>
            <a:srgbClr val="FFA7E8"/>
          </a:solidFill>
          <a:ln>
            <a:noFill/>
          </a:ln>
          <a:effectLst/>
        </c:spPr>
        <c:dLbl>
          <c:idx val="0"/>
          <c:layout>
            <c:manualLayout>
              <c:x val="1.6566204160856537E-3"/>
              <c:y val="-3.064448345408223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0918524277315647E-2"/>
                  <c:h val="7.3981576994769885E-2"/>
                </c:manualLayout>
              </c15:layout>
            </c:ext>
          </c:extLst>
        </c:dLbl>
      </c:pivotFmt>
      <c:pivotFmt>
        <c:idx val="30"/>
        <c:spPr>
          <a:solidFill>
            <a:srgbClr val="FF99FF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4.2310085426827598E-2"/>
                  <c:h val="7.3981576994769899E-2"/>
                </c:manualLayout>
              </c15:layout>
            </c:ext>
          </c:extLst>
        </c:dLbl>
      </c:pivotFmt>
      <c:pivotFmt>
        <c:idx val="31"/>
        <c:spPr>
          <a:solidFill>
            <a:srgbClr val="FFA7E8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FF3399"/>
          </a:solidFill>
          <a:ln>
            <a:noFill/>
          </a:ln>
          <a:effectLst/>
        </c:spPr>
        <c:dLbl>
          <c:idx val="0"/>
          <c:layout>
            <c:manualLayout>
              <c:x val="-6.0742046892498282E-17"/>
              <c:y val="6.128936906937883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3.071374251422802E-2"/>
                  <c:h val="0.11484115637435578"/>
                </c:manualLayout>
              </c15:layout>
            </c:ext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6443770781129142E-2"/>
          <c:y val="0.20733944216217953"/>
          <c:w val="0.68234616583683461"/>
          <c:h val="0.6997138622959785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Dinamica!$J$3:$J$4</c:f>
              <c:strCache>
                <c:ptCount val="1"/>
                <c:pt idx="0">
                  <c:v>Centro-Oeste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F579-49B0-807E-49FDE063EF29}"/>
              </c:ext>
            </c:extLst>
          </c:dPt>
          <c:dLbls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579-49B0-807E-49FDE063EF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Dinamica!$I$5:$I$11</c:f>
              <c:strCache>
                <c:ptCount val="6"/>
                <c:pt idx="0">
                  <c:v>Adobe</c:v>
                </c:pt>
                <c:pt idx="1">
                  <c:v>Dean</c:v>
                </c:pt>
                <c:pt idx="2">
                  <c:v>Judas</c:v>
                </c:pt>
                <c:pt idx="3">
                  <c:v>Manu</c:v>
                </c:pt>
                <c:pt idx="4">
                  <c:v>Pritt</c:v>
                </c:pt>
                <c:pt idx="5">
                  <c:v>Sam</c:v>
                </c:pt>
              </c:strCache>
            </c:strRef>
          </c:cat>
          <c:val>
            <c:numRef>
              <c:f>Dinamica!$J$5:$J$11</c:f>
              <c:numCache>
                <c:formatCode>0,"k"</c:formatCode>
                <c:ptCount val="6"/>
                <c:pt idx="0">
                  <c:v>12070</c:v>
                </c:pt>
                <c:pt idx="3">
                  <c:v>30081</c:v>
                </c:pt>
                <c:pt idx="4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79-49B0-807E-49FDE063EF29}"/>
            </c:ext>
          </c:extLst>
        </c:ser>
        <c:ser>
          <c:idx val="1"/>
          <c:order val="1"/>
          <c:tx>
            <c:strRef>
              <c:f>Dinamica!$K$3:$K$4</c:f>
              <c:strCache>
                <c:ptCount val="1"/>
                <c:pt idx="0">
                  <c:v>Nordeste</c:v>
                </c:pt>
              </c:strCache>
            </c:strRef>
          </c:tx>
          <c:spPr>
            <a:solidFill>
              <a:srgbClr val="CC0066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CC006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FA5-4C69-AB74-2975C7020B06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2635422196887379E-2"/>
                      <c:h val="0.1761305254437346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A5-4C69-AB74-2975C7020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Dinamica!$I$5:$I$11</c:f>
              <c:strCache>
                <c:ptCount val="6"/>
                <c:pt idx="0">
                  <c:v>Adobe</c:v>
                </c:pt>
                <c:pt idx="1">
                  <c:v>Dean</c:v>
                </c:pt>
                <c:pt idx="2">
                  <c:v>Judas</c:v>
                </c:pt>
                <c:pt idx="3">
                  <c:v>Manu</c:v>
                </c:pt>
                <c:pt idx="4">
                  <c:v>Pritt</c:v>
                </c:pt>
                <c:pt idx="5">
                  <c:v>Sam</c:v>
                </c:pt>
              </c:strCache>
            </c:strRef>
          </c:cat>
          <c:val>
            <c:numRef>
              <c:f>Dinamica!$K$5:$K$11</c:f>
              <c:numCache>
                <c:formatCode>0,"k"</c:formatCode>
                <c:ptCount val="6"/>
                <c:pt idx="2">
                  <c:v>6479</c:v>
                </c:pt>
                <c:pt idx="3">
                  <c:v>56628</c:v>
                </c:pt>
                <c:pt idx="4">
                  <c:v>57782</c:v>
                </c:pt>
                <c:pt idx="5">
                  <c:v>10922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B6E-4ACE-B2B6-6BB23EEFD51D}"/>
            </c:ext>
          </c:extLst>
        </c:ser>
        <c:ser>
          <c:idx val="2"/>
          <c:order val="2"/>
          <c:tx>
            <c:strRef>
              <c:f>Dinamica!$L$3:$L$4</c:f>
              <c:strCache>
                <c:ptCount val="1"/>
                <c:pt idx="0">
                  <c:v>Norte</c:v>
                </c:pt>
              </c:strCache>
            </c:strRef>
          </c:tx>
          <c:spPr>
            <a:solidFill>
              <a:srgbClr val="FFA7E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A7E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FA5-4C69-AB74-2975C7020B06}"/>
              </c:ext>
            </c:extLst>
          </c:dPt>
          <c:dPt>
            <c:idx val="4"/>
            <c:invertIfNegative val="0"/>
            <c:bubble3D val="0"/>
            <c:spPr>
              <a:solidFill>
                <a:srgbClr val="FFA7E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FA5-4C69-AB74-2975C7020B06}"/>
              </c:ext>
            </c:extLst>
          </c:dPt>
          <c:dPt>
            <c:idx val="5"/>
            <c:invertIfNegative val="0"/>
            <c:bubble3D val="0"/>
            <c:spPr>
              <a:solidFill>
                <a:srgbClr val="FFA7E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FA5-4C69-AB74-2975C7020B06}"/>
              </c:ext>
            </c:extLst>
          </c:dPt>
          <c:dLbls>
            <c:dLbl>
              <c:idx val="1"/>
              <c:layout>
                <c:manualLayout>
                  <c:x val="1.6566204160856233E-3"/>
                  <c:y val="-0.1276861855612059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A5-4C69-AB74-2975C7020B06}"/>
                </c:ext>
              </c:extLst>
            </c:dLbl>
            <c:dLbl>
              <c:idx val="4"/>
              <c:layout>
                <c:manualLayout>
                  <c:x val="1.6566204160856537E-3"/>
                  <c:y val="-3.064448345408223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0918524277315647E-2"/>
                      <c:h val="7.398157699476988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0FA5-4C69-AB74-2975C7020B0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FA5-4C69-AB74-2975C7020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Dinamica!$I$5:$I$11</c:f>
              <c:strCache>
                <c:ptCount val="6"/>
                <c:pt idx="0">
                  <c:v>Adobe</c:v>
                </c:pt>
                <c:pt idx="1">
                  <c:v>Dean</c:v>
                </c:pt>
                <c:pt idx="2">
                  <c:v>Judas</c:v>
                </c:pt>
                <c:pt idx="3">
                  <c:v>Manu</c:v>
                </c:pt>
                <c:pt idx="4">
                  <c:v>Pritt</c:v>
                </c:pt>
                <c:pt idx="5">
                  <c:v>Sam</c:v>
                </c:pt>
              </c:strCache>
            </c:strRef>
          </c:cat>
          <c:val>
            <c:numRef>
              <c:f>Dinamica!$L$5:$L$11</c:f>
              <c:numCache>
                <c:formatCode>0,"k"</c:formatCode>
                <c:ptCount val="6"/>
                <c:pt idx="0">
                  <c:v>7956</c:v>
                </c:pt>
                <c:pt idx="1">
                  <c:v>4182</c:v>
                </c:pt>
                <c:pt idx="4">
                  <c:v>19267</c:v>
                </c:pt>
                <c:pt idx="5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B6E-4ACE-B2B6-6BB23EEFD51D}"/>
            </c:ext>
          </c:extLst>
        </c:ser>
        <c:ser>
          <c:idx val="3"/>
          <c:order val="3"/>
          <c:tx>
            <c:strRef>
              <c:f>Dinamica!$M$3:$M$4</c:f>
              <c:strCache>
                <c:ptCount val="1"/>
                <c:pt idx="0">
                  <c:v>Sudeste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339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FA5-4C69-AB74-2975C7020B06}"/>
              </c:ext>
            </c:extLst>
          </c:dPt>
          <c:dLbls>
            <c:dLbl>
              <c:idx val="3"/>
              <c:layout>
                <c:manualLayout>
                  <c:x val="-6.0742046892498282E-17"/>
                  <c:y val="6.12893690693788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bg1"/>
                      </a:solidFill>
                      <a:latin typeface="Century Gothic" panose="020B0502020202020204" pitchFamily="34" charset="0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071374251422802E-2"/>
                      <c:h val="0.1148411563743557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0FA5-4C69-AB74-2975C7020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Dinamica!$I$5:$I$11</c:f>
              <c:strCache>
                <c:ptCount val="6"/>
                <c:pt idx="0">
                  <c:v>Adobe</c:v>
                </c:pt>
                <c:pt idx="1">
                  <c:v>Dean</c:v>
                </c:pt>
                <c:pt idx="2">
                  <c:v>Judas</c:v>
                </c:pt>
                <c:pt idx="3">
                  <c:v>Manu</c:v>
                </c:pt>
                <c:pt idx="4">
                  <c:v>Pritt</c:v>
                </c:pt>
                <c:pt idx="5">
                  <c:v>Sam</c:v>
                </c:pt>
              </c:strCache>
            </c:strRef>
          </c:cat>
          <c:val>
            <c:numRef>
              <c:f>Dinamica!$M$5:$M$11</c:f>
              <c:numCache>
                <c:formatCode>0,"k"</c:formatCode>
                <c:ptCount val="6"/>
                <c:pt idx="0">
                  <c:v>13798</c:v>
                </c:pt>
                <c:pt idx="1">
                  <c:v>146280</c:v>
                </c:pt>
                <c:pt idx="2">
                  <c:v>17850</c:v>
                </c:pt>
                <c:pt idx="3">
                  <c:v>3026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B6E-4ACE-B2B6-6BB23EEFD51D}"/>
            </c:ext>
          </c:extLst>
        </c:ser>
        <c:ser>
          <c:idx val="4"/>
          <c:order val="4"/>
          <c:tx>
            <c:strRef>
              <c:f>Dinamica!$N$3:$N$4</c:f>
              <c:strCache>
                <c:ptCount val="1"/>
                <c:pt idx="0">
                  <c:v>Sul</c:v>
                </c:pt>
              </c:strCache>
            </c:strRef>
          </c:tx>
          <c:spPr>
            <a:solidFill>
              <a:srgbClr val="FF99FF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FA5-4C69-AB74-2975C7020B06}"/>
              </c:ext>
            </c:extLst>
          </c:dPt>
          <c:dPt>
            <c:idx val="4"/>
            <c:invertIfNegative val="0"/>
            <c:bubble3D val="0"/>
            <c:spPr>
              <a:solidFill>
                <a:srgbClr val="FF99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FA5-4C69-AB74-2975C7020B06}"/>
              </c:ext>
            </c:extLst>
          </c:dPt>
          <c:dLbls>
            <c:dLbl>
              <c:idx val="2"/>
              <c:layout>
                <c:manualLayout>
                  <c:x val="0"/>
                  <c:y val="5.107447422448232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FA5-4C69-AB74-2975C7020B0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4.2310085426827598E-2"/>
                      <c:h val="7.398157699476989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0FA5-4C69-AB74-2975C7020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Dinamica!$I$5:$I$11</c:f>
              <c:strCache>
                <c:ptCount val="6"/>
                <c:pt idx="0">
                  <c:v>Adobe</c:v>
                </c:pt>
                <c:pt idx="1">
                  <c:v>Dean</c:v>
                </c:pt>
                <c:pt idx="2">
                  <c:v>Judas</c:v>
                </c:pt>
                <c:pt idx="3">
                  <c:v>Manu</c:v>
                </c:pt>
                <c:pt idx="4">
                  <c:v>Pritt</c:v>
                </c:pt>
                <c:pt idx="5">
                  <c:v>Sam</c:v>
                </c:pt>
              </c:strCache>
            </c:strRef>
          </c:cat>
          <c:val>
            <c:numRef>
              <c:f>Dinamica!$N$5:$N$11</c:f>
              <c:numCache>
                <c:formatCode>0,"k"</c:formatCode>
                <c:ptCount val="6"/>
                <c:pt idx="1">
                  <c:v>28960</c:v>
                </c:pt>
                <c:pt idx="2">
                  <c:v>92</c:v>
                </c:pt>
                <c:pt idx="4">
                  <c:v>2210</c:v>
                </c:pt>
                <c:pt idx="5">
                  <c:v>2992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B6E-4ACE-B2B6-6BB23EEFD51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44046528"/>
        <c:axId val="1044041728"/>
      </c:barChart>
      <c:catAx>
        <c:axId val="1044046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1044041728"/>
        <c:crosses val="autoZero"/>
        <c:auto val="1"/>
        <c:lblAlgn val="ctr"/>
        <c:lblOffset val="100"/>
        <c:noMultiLvlLbl val="0"/>
      </c:catAx>
      <c:valAx>
        <c:axId val="1044041728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104404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779836936882127"/>
          <c:y val="0.3011934574273531"/>
          <c:w val="0.12401290859499024"/>
          <c:h val="0.4290477023524420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38100" dir="2700000" algn="tl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[Primeiro Dashboard.xlsx]Dinamica!Tabela dinâmica1</c:name>
    <c:fmtId val="5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339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entury Gothic" panose="020B0502020202020204" pitchFamily="34" charset="0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Dinamica!$B$3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Dinamica!$A$4:$A$19</c:f>
              <c:strCache>
                <c:ptCount val="15"/>
                <c:pt idx="0">
                  <c:v>xuxa</c:v>
                </c:pt>
                <c:pt idx="1">
                  <c:v>Bruno</c:v>
                </c:pt>
                <c:pt idx="2">
                  <c:v>amanda</c:v>
                </c:pt>
                <c:pt idx="3">
                  <c:v>Camila</c:v>
                </c:pt>
                <c:pt idx="4">
                  <c:v>Jão</c:v>
                </c:pt>
                <c:pt idx="5">
                  <c:v>Fernanda</c:v>
                </c:pt>
                <c:pt idx="6">
                  <c:v>Amelia</c:v>
                </c:pt>
                <c:pt idx="7">
                  <c:v>marcelo</c:v>
                </c:pt>
                <c:pt idx="8">
                  <c:v>uno</c:v>
                </c:pt>
                <c:pt idx="9">
                  <c:v>sofia</c:v>
                </c:pt>
                <c:pt idx="10">
                  <c:v>armando</c:v>
                </c:pt>
                <c:pt idx="11">
                  <c:v>gerdrudes</c:v>
                </c:pt>
                <c:pt idx="12">
                  <c:v>gabi</c:v>
                </c:pt>
                <c:pt idx="13">
                  <c:v>marcela</c:v>
                </c:pt>
                <c:pt idx="14">
                  <c:v>luna</c:v>
                </c:pt>
              </c:strCache>
            </c:strRef>
          </c:cat>
          <c:val>
            <c:numRef>
              <c:f>Dinamica!$B$4:$B$19</c:f>
              <c:numCache>
                <c:formatCode>#,#00"M"</c:formatCode>
                <c:ptCount val="15"/>
                <c:pt idx="0">
                  <c:v>4114</c:v>
                </c:pt>
                <c:pt idx="1">
                  <c:v>4522</c:v>
                </c:pt>
                <c:pt idx="2">
                  <c:v>6052</c:v>
                </c:pt>
                <c:pt idx="3">
                  <c:v>7174</c:v>
                </c:pt>
                <c:pt idx="4">
                  <c:v>7254</c:v>
                </c:pt>
                <c:pt idx="5">
                  <c:v>7459</c:v>
                </c:pt>
                <c:pt idx="6">
                  <c:v>9588</c:v>
                </c:pt>
                <c:pt idx="7">
                  <c:v>11356</c:v>
                </c:pt>
                <c:pt idx="8">
                  <c:v>13344</c:v>
                </c:pt>
                <c:pt idx="9">
                  <c:v>19584</c:v>
                </c:pt>
                <c:pt idx="10">
                  <c:v>22644</c:v>
                </c:pt>
                <c:pt idx="11">
                  <c:v>23732</c:v>
                </c:pt>
                <c:pt idx="12">
                  <c:v>26486</c:v>
                </c:pt>
                <c:pt idx="13">
                  <c:v>56720</c:v>
                </c:pt>
                <c:pt idx="14">
                  <c:v>201036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B9-409F-8DB8-3FE01D0A14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1345317904"/>
        <c:axId val="1345318384"/>
      </c:barChart>
      <c:catAx>
        <c:axId val="1345317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1345318384"/>
        <c:crosses val="autoZero"/>
        <c:auto val="1"/>
        <c:lblAlgn val="ctr"/>
        <c:lblOffset val="100"/>
        <c:noMultiLvlLbl val="0"/>
      </c:catAx>
      <c:valAx>
        <c:axId val="134531838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00&quot;M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pt-BR"/>
          </a:p>
        </c:txPr>
        <c:crossAx val="1345317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385482</xdr:colOff>
      <xdr:row>2</xdr:row>
      <xdr:rowOff>89647</xdr:rowOff>
    </xdr:from>
    <xdr:to>
      <xdr:col>5</xdr:col>
      <xdr:colOff>251012</xdr:colOff>
      <xdr:row>7</xdr:row>
      <xdr:rowOff>116541</xdr:rowOff>
    </xdr:to>
    <xdr:sp macro="" textlink="">
      <xdr:nvSpPr>
        <xdr:cNvPr id="22" name="Retângulo: Cantos Arredondados 21">
          <a:extLst>
            <a:ext uri="{FF2B5EF4-FFF2-40B4-BE49-F238E27FC236}">
              <a16:creationId xmlns:a16="http://schemas.microsoft.com/office/drawing/2014/main" id="{B4D8D6D3-1EE8-3545-B85E-41A6238E8782}"/>
            </a:ext>
          </a:extLst>
        </xdr:cNvPr>
        <xdr:cNvSpPr/>
      </xdr:nvSpPr>
      <xdr:spPr>
        <a:xfrm>
          <a:off x="995082" y="448235"/>
          <a:ext cx="2303930" cy="923365"/>
        </a:xfrm>
        <a:prstGeom prst="roundRect">
          <a:avLst/>
        </a:prstGeom>
        <a:solidFill>
          <a:srgbClr val="FF33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20</xdr:col>
      <xdr:colOff>62754</xdr:colOff>
      <xdr:row>20</xdr:row>
      <xdr:rowOff>80683</xdr:rowOff>
    </xdr:from>
    <xdr:to>
      <xdr:col>27</xdr:col>
      <xdr:colOff>484095</xdr:colOff>
      <xdr:row>34</xdr:row>
      <xdr:rowOff>8967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31E85694-28CD-4478-B562-0A9AE03B05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53789</xdr:colOff>
      <xdr:row>8</xdr:row>
      <xdr:rowOff>38887</xdr:rowOff>
    </xdr:from>
    <xdr:to>
      <xdr:col>27</xdr:col>
      <xdr:colOff>471289</xdr:colOff>
      <xdr:row>19</xdr:row>
      <xdr:rowOff>134469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3C6D77B-4053-4D5B-8F22-C62712890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163936</xdr:colOff>
      <xdr:row>8</xdr:row>
      <xdr:rowOff>66460</xdr:rowOff>
    </xdr:from>
    <xdr:to>
      <xdr:col>19</xdr:col>
      <xdr:colOff>493059</xdr:colOff>
      <xdr:row>19</xdr:row>
      <xdr:rowOff>130883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8ACA481B-4FED-4D4B-B0A3-312DB18250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159978</xdr:colOff>
      <xdr:row>20</xdr:row>
      <xdr:rowOff>52110</xdr:rowOff>
    </xdr:from>
    <xdr:to>
      <xdr:col>19</xdr:col>
      <xdr:colOff>510988</xdr:colOff>
      <xdr:row>34</xdr:row>
      <xdr:rowOff>28557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743503C-54B6-453A-819B-D0447E254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125505</xdr:colOff>
      <xdr:row>8</xdr:row>
      <xdr:rowOff>35860</xdr:rowOff>
    </xdr:from>
    <xdr:to>
      <xdr:col>19</xdr:col>
      <xdr:colOff>510988</xdr:colOff>
      <xdr:row>9</xdr:row>
      <xdr:rowOff>170330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8E5ACA76-788A-F9DA-96CD-1CE5279DC46D}"/>
            </a:ext>
          </a:extLst>
        </xdr:cNvPr>
        <xdr:cNvSpPr/>
      </xdr:nvSpPr>
      <xdr:spPr>
        <a:xfrm>
          <a:off x="4392705" y="1470213"/>
          <a:ext cx="7700683" cy="313764"/>
        </a:xfrm>
        <a:prstGeom prst="rect">
          <a:avLst/>
        </a:prstGeom>
        <a:solidFill>
          <a:srgbClr val="FF33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latin typeface="Century Gothic" panose="020B0502020202020204" pitchFamily="34" charset="0"/>
            </a:rPr>
            <a:t>Evolução</a:t>
          </a:r>
          <a:r>
            <a:rPr lang="pt-BR" sz="1600" b="1" baseline="0">
              <a:latin typeface="Century Gothic" panose="020B0502020202020204" pitchFamily="34" charset="0"/>
            </a:rPr>
            <a:t> de Vendas Trimestral</a:t>
          </a:r>
          <a:endParaRPr lang="pt-BR" sz="1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</xdr:col>
      <xdr:colOff>116541</xdr:colOff>
      <xdr:row>8</xdr:row>
      <xdr:rowOff>71718</xdr:rowOff>
    </xdr:from>
    <xdr:to>
      <xdr:col>7</xdr:col>
      <xdr:colOff>71718</xdr:colOff>
      <xdr:row>34</xdr:row>
      <xdr:rowOff>8964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711C917-9FCC-4ECF-AC3B-BE71F031F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107576</xdr:colOff>
      <xdr:row>8</xdr:row>
      <xdr:rowOff>44825</xdr:rowOff>
    </xdr:from>
    <xdr:to>
      <xdr:col>7</xdr:col>
      <xdr:colOff>80682</xdr:colOff>
      <xdr:row>10</xdr:row>
      <xdr:rowOff>1</xdr:rowOff>
    </xdr:to>
    <xdr:sp macro="" textlink="">
      <xdr:nvSpPr>
        <xdr:cNvPr id="19" name="Retângulo 18">
          <a:extLst>
            <a:ext uri="{FF2B5EF4-FFF2-40B4-BE49-F238E27FC236}">
              <a16:creationId xmlns:a16="http://schemas.microsoft.com/office/drawing/2014/main" id="{24F0EA29-BF35-6B03-7763-1EFBB1F40460}"/>
            </a:ext>
          </a:extLst>
        </xdr:cNvPr>
        <xdr:cNvSpPr/>
      </xdr:nvSpPr>
      <xdr:spPr>
        <a:xfrm>
          <a:off x="717176" y="1479178"/>
          <a:ext cx="3630706" cy="313764"/>
        </a:xfrm>
        <a:prstGeom prst="rect">
          <a:avLst/>
        </a:prstGeom>
        <a:solidFill>
          <a:srgbClr val="FF33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600" b="1">
              <a:latin typeface="Century Gothic" panose="020B0502020202020204" pitchFamily="34" charset="0"/>
            </a:rPr>
            <a:t>Vendas</a:t>
          </a:r>
          <a:r>
            <a:rPr lang="pt-BR" sz="1600" b="1" baseline="0">
              <a:latin typeface="Century Gothic" panose="020B0502020202020204" pitchFamily="34" charset="0"/>
            </a:rPr>
            <a:t> por Representante</a:t>
          </a:r>
          <a:endParaRPr lang="pt-BR" sz="1600" b="1"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403412</xdr:colOff>
      <xdr:row>3</xdr:row>
      <xdr:rowOff>0</xdr:rowOff>
    </xdr:from>
    <xdr:to>
      <xdr:col>14</xdr:col>
      <xdr:colOff>233012</xdr:colOff>
      <xdr:row>6</xdr:row>
      <xdr:rowOff>161364</xdr:rowOff>
    </xdr:to>
    <xdr:sp macro="" textlink="venda_total">
      <xdr:nvSpPr>
        <xdr:cNvPr id="24" name="Retângulo: Cantos Arredondados 23">
          <a:extLst>
            <a:ext uri="{FF2B5EF4-FFF2-40B4-BE49-F238E27FC236}">
              <a16:creationId xmlns:a16="http://schemas.microsoft.com/office/drawing/2014/main" id="{93CAF2A6-6117-6CDE-173D-752EA43192AB}"/>
            </a:ext>
          </a:extLst>
        </xdr:cNvPr>
        <xdr:cNvSpPr/>
      </xdr:nvSpPr>
      <xdr:spPr>
        <a:xfrm>
          <a:off x="6499412" y="537882"/>
          <a:ext cx="2268000" cy="699247"/>
        </a:xfrm>
        <a:prstGeom prst="roundRect">
          <a:avLst/>
        </a:prstGeom>
        <a:solidFill>
          <a:srgbClr val="FF3399">
            <a:alpha val="55000"/>
          </a:srgbClr>
        </a:solidFill>
        <a:ln>
          <a:gradFill flip="none" rotWithShape="1">
            <a:gsLst>
              <a:gs pos="0">
                <a:schemeClr val="accent5">
                  <a:lumMod val="0"/>
                  <a:lumOff val="100000"/>
                </a:schemeClr>
              </a:gs>
              <a:gs pos="35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B9A02875-3A21-41A9-9A45-5652261906E6}" type="TxLink">
            <a:rPr lang="en-US" sz="16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1520</a:t>
          </a:fld>
          <a:endParaRPr lang="pt-BR" sz="1600" b="1" i="0" u="none" strike="noStrike">
            <a:solidFill>
              <a:schemeClr val="bg1"/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19</xdr:col>
      <xdr:colOff>170400</xdr:colOff>
      <xdr:row>3</xdr:row>
      <xdr:rowOff>0</xdr:rowOff>
    </xdr:from>
    <xdr:to>
      <xdr:col>23</xdr:col>
      <xdr:colOff>0</xdr:colOff>
      <xdr:row>6</xdr:row>
      <xdr:rowOff>161364</xdr:rowOff>
    </xdr:to>
    <xdr:sp macro="" textlink="lucro">
      <xdr:nvSpPr>
        <xdr:cNvPr id="25" name="Retângulo: Cantos Arredondados 24">
          <a:extLst>
            <a:ext uri="{FF2B5EF4-FFF2-40B4-BE49-F238E27FC236}">
              <a16:creationId xmlns:a16="http://schemas.microsoft.com/office/drawing/2014/main" id="{8F42E773-2D18-4F72-8847-D2E63BD3D2E1}"/>
            </a:ext>
          </a:extLst>
        </xdr:cNvPr>
        <xdr:cNvSpPr/>
      </xdr:nvSpPr>
      <xdr:spPr>
        <a:xfrm>
          <a:off x="11752800" y="537882"/>
          <a:ext cx="2268000" cy="699247"/>
        </a:xfrm>
        <a:prstGeom prst="roundRect">
          <a:avLst/>
        </a:prstGeom>
        <a:solidFill>
          <a:srgbClr val="FF3399">
            <a:alpha val="55000"/>
          </a:srgbClr>
        </a:solidFill>
        <a:ln>
          <a:gradFill flip="none" rotWithShape="1">
            <a:gsLst>
              <a:gs pos="0">
                <a:schemeClr val="accent5">
                  <a:lumMod val="0"/>
                  <a:lumOff val="100000"/>
                </a:schemeClr>
              </a:gs>
              <a:gs pos="35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75CC4DEC-49F0-4E21-903C-50F9B7B158AB}" type="TxLink">
            <a:rPr lang="en-US" sz="16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 R$ 158.568,00 </a:t>
          </a:fld>
          <a:endParaRPr lang="pt-BR" sz="1600" b="1" i="0" u="none" strike="noStrike">
            <a:solidFill>
              <a:schemeClr val="bg1"/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415514</xdr:colOff>
      <xdr:row>3</xdr:row>
      <xdr:rowOff>0</xdr:rowOff>
    </xdr:from>
    <xdr:to>
      <xdr:col>10</xdr:col>
      <xdr:colOff>245114</xdr:colOff>
      <xdr:row>6</xdr:row>
      <xdr:rowOff>161364</xdr:rowOff>
    </xdr:to>
    <xdr:sp macro="" textlink="produto_vendido">
      <xdr:nvSpPr>
        <xdr:cNvPr id="26" name="Retângulo: Cantos Arredondados 25">
          <a:extLst>
            <a:ext uri="{FF2B5EF4-FFF2-40B4-BE49-F238E27FC236}">
              <a16:creationId xmlns:a16="http://schemas.microsoft.com/office/drawing/2014/main" id="{42E7D3E8-49BF-425D-8815-99DF6E6C4B7C}"/>
            </a:ext>
          </a:extLst>
        </xdr:cNvPr>
        <xdr:cNvSpPr/>
      </xdr:nvSpPr>
      <xdr:spPr>
        <a:xfrm>
          <a:off x="4073114" y="548640"/>
          <a:ext cx="2268000" cy="710004"/>
        </a:xfrm>
        <a:prstGeom prst="roundRect">
          <a:avLst/>
        </a:prstGeom>
        <a:solidFill>
          <a:srgbClr val="FF3399">
            <a:alpha val="55000"/>
          </a:srgbClr>
        </a:solidFill>
        <a:ln>
          <a:gradFill flip="none" rotWithShape="1">
            <a:gsLst>
              <a:gs pos="0">
                <a:schemeClr val="accent5">
                  <a:lumMod val="0"/>
                  <a:lumOff val="100000"/>
                </a:schemeClr>
              </a:gs>
              <a:gs pos="35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5B7B3B3C-F765-40E3-A469-2C2DB123E34E}" type="TxLink">
            <a:rPr lang="en-US" sz="16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Calibri"/>
              <a:cs typeface="Calibri"/>
            </a:rPr>
            <a:pPr algn="ctr"/>
            <a:t>argola</a:t>
          </a:fld>
          <a:endParaRPr lang="pt-BR" sz="16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0</xdr:colOff>
      <xdr:row>3</xdr:row>
      <xdr:rowOff>0</xdr:rowOff>
    </xdr:from>
    <xdr:to>
      <xdr:col>18</xdr:col>
      <xdr:colOff>439200</xdr:colOff>
      <xdr:row>6</xdr:row>
      <xdr:rowOff>161364</xdr:rowOff>
    </xdr:to>
    <xdr:sp macro="" textlink="valor_total">
      <xdr:nvSpPr>
        <xdr:cNvPr id="27" name="Retângulo: Cantos Arredondados 26">
          <a:extLst>
            <a:ext uri="{FF2B5EF4-FFF2-40B4-BE49-F238E27FC236}">
              <a16:creationId xmlns:a16="http://schemas.microsoft.com/office/drawing/2014/main" id="{B1C0D73A-872D-4A9B-A612-27E565F7A007}"/>
            </a:ext>
          </a:extLst>
        </xdr:cNvPr>
        <xdr:cNvSpPr/>
      </xdr:nvSpPr>
      <xdr:spPr>
        <a:xfrm>
          <a:off x="9144000" y="537882"/>
          <a:ext cx="2268000" cy="699247"/>
        </a:xfrm>
        <a:prstGeom prst="roundRect">
          <a:avLst/>
        </a:prstGeom>
        <a:solidFill>
          <a:srgbClr val="FF3399">
            <a:alpha val="55000"/>
          </a:srgbClr>
        </a:solidFill>
        <a:ln>
          <a:gradFill flip="none" rotWithShape="1">
            <a:gsLst>
              <a:gs pos="0">
                <a:schemeClr val="accent5">
                  <a:lumMod val="0"/>
                  <a:lumOff val="100000"/>
                </a:schemeClr>
              </a:gs>
              <a:gs pos="35000">
                <a:schemeClr val="accent5">
                  <a:lumMod val="0"/>
                  <a:lumOff val="100000"/>
                </a:schemeClr>
              </a:gs>
              <a:gs pos="100000">
                <a:schemeClr val="accent5">
                  <a:lumMod val="100000"/>
                </a:schemeClr>
              </a:gs>
            </a:gsLst>
            <a:path path="circle">
              <a:fillToRect l="50000" t="-80000" r="50000" b="180000"/>
            </a:path>
            <a:tileRect/>
          </a:gra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indent="0" algn="ctr"/>
          <a:fld id="{136125FB-EF0D-47FC-B70D-BEC105495075}" type="TxLink">
            <a:rPr lang="en-US" sz="1600" b="1" i="0" u="none" strike="noStrike">
              <a:solidFill>
                <a:schemeClr val="bg1"/>
              </a:solidFill>
              <a:latin typeface="Century Gothic" panose="020B0502020202020204" pitchFamily="34" charset="0"/>
              <a:ea typeface="Calibri"/>
              <a:cs typeface="Calibri"/>
            </a:rPr>
            <a:pPr marL="0" indent="0" algn="ctr"/>
            <a:t> R$ 421.065,00 </a:t>
          </a:fld>
          <a:endParaRPr lang="pt-BR" sz="1600" b="1" i="0" u="none" strike="noStrike">
            <a:solidFill>
              <a:schemeClr val="bg1"/>
            </a:solidFill>
            <a:latin typeface="Century Gothic" panose="020B0502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430307</xdr:colOff>
      <xdr:row>3</xdr:row>
      <xdr:rowOff>17929</xdr:rowOff>
    </xdr:from>
    <xdr:to>
      <xdr:col>10</xdr:col>
      <xdr:colOff>206189</xdr:colOff>
      <xdr:row>5</xdr:row>
      <xdr:rowOff>62753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48BD5D90-095B-BD15-42F6-663FEE327D1A}"/>
            </a:ext>
          </a:extLst>
        </xdr:cNvPr>
        <xdr:cNvSpPr txBox="1"/>
      </xdr:nvSpPr>
      <xdr:spPr>
        <a:xfrm>
          <a:off x="4087907" y="555811"/>
          <a:ext cx="2214282" cy="403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  <a:latin typeface="Century Gothic" panose="020B0502020202020204" pitchFamily="34" charset="0"/>
            </a:rPr>
            <a:t>Produto</a:t>
          </a:r>
          <a:r>
            <a:rPr lang="pt-BR" sz="1400" b="1" baseline="0">
              <a:solidFill>
                <a:schemeClr val="bg1"/>
              </a:solidFill>
              <a:latin typeface="Century Gothic" panose="020B0502020202020204" pitchFamily="34" charset="0"/>
            </a:rPr>
            <a:t> mais Vendido</a:t>
          </a:r>
          <a:endParaRPr lang="pt-BR" sz="14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10</xdr:col>
      <xdr:colOff>412376</xdr:colOff>
      <xdr:row>3</xdr:row>
      <xdr:rowOff>62753</xdr:rowOff>
    </xdr:from>
    <xdr:to>
      <xdr:col>14</xdr:col>
      <xdr:colOff>188259</xdr:colOff>
      <xdr:row>5</xdr:row>
      <xdr:rowOff>8964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D8A0CBF-83CE-22E8-629A-28DFBD85308B}"/>
            </a:ext>
          </a:extLst>
        </xdr:cNvPr>
        <xdr:cNvSpPr txBox="1"/>
      </xdr:nvSpPr>
      <xdr:spPr>
        <a:xfrm>
          <a:off x="6508376" y="600635"/>
          <a:ext cx="2214283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Itens</a:t>
          </a:r>
          <a:r>
            <a:rPr lang="pt-BR" sz="1400" b="1" baseline="0">
              <a:solidFill>
                <a:schemeClr val="bg1"/>
              </a:solidFill>
              <a:effectLst/>
              <a:latin typeface="Century Gothic" panose="020B0502020202020204" pitchFamily="34" charset="0"/>
              <a:ea typeface="+mn-ea"/>
              <a:cs typeface="+mn-cs"/>
            </a:rPr>
            <a:t> Vendidos</a:t>
          </a:r>
          <a:endParaRPr lang="pt-BR" sz="1400" b="1">
            <a:solidFill>
              <a:schemeClr val="bg1"/>
            </a:solidFill>
            <a:effectLst/>
            <a:latin typeface="Century Gothic" panose="020B0502020202020204" pitchFamily="34" charset="0"/>
          </a:endParaRPr>
        </a:p>
        <a:p>
          <a:pPr algn="ctr"/>
          <a:endParaRPr lang="pt-BR" sz="1400" b="1">
            <a:solidFill>
              <a:schemeClr val="bg1"/>
            </a:solidFill>
            <a:latin typeface="Century Gothic" panose="020B0502020202020204" pitchFamily="34" charset="0"/>
          </a:endParaRPr>
        </a:p>
      </xdr:txBody>
    </xdr:sp>
    <xdr:clientData/>
  </xdr:twoCellAnchor>
  <xdr:twoCellAnchor>
    <xdr:from>
      <xdr:col>15</xdr:col>
      <xdr:colOff>17929</xdr:colOff>
      <xdr:row>2</xdr:row>
      <xdr:rowOff>89647</xdr:rowOff>
    </xdr:from>
    <xdr:to>
      <xdr:col>18</xdr:col>
      <xdr:colOff>439271</xdr:colOff>
      <xdr:row>3</xdr:row>
      <xdr:rowOff>170330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6D104AEF-6F49-376E-2385-E513C5D68D84}"/>
            </a:ext>
          </a:extLst>
        </xdr:cNvPr>
        <xdr:cNvSpPr txBox="1"/>
      </xdr:nvSpPr>
      <xdr:spPr>
        <a:xfrm>
          <a:off x="9161929" y="448235"/>
          <a:ext cx="2250142" cy="2599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19</xdr:col>
      <xdr:colOff>206188</xdr:colOff>
      <xdr:row>0</xdr:row>
      <xdr:rowOff>35860</xdr:rowOff>
    </xdr:from>
    <xdr:to>
      <xdr:col>23</xdr:col>
      <xdr:colOff>8965</xdr:colOff>
      <xdr:row>1</xdr:row>
      <xdr:rowOff>71718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22A37AA2-1807-CF96-6A68-D0AE57585985}"/>
            </a:ext>
          </a:extLst>
        </xdr:cNvPr>
        <xdr:cNvSpPr txBox="1"/>
      </xdr:nvSpPr>
      <xdr:spPr>
        <a:xfrm flipV="1">
          <a:off x="11788588" y="35860"/>
          <a:ext cx="2241177" cy="2151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BR" sz="1100"/>
        </a:p>
      </xdr:txBody>
    </xdr:sp>
    <xdr:clientData/>
  </xdr:twoCellAnchor>
  <xdr:twoCellAnchor>
    <xdr:from>
      <xdr:col>15</xdr:col>
      <xdr:colOff>188259</xdr:colOff>
      <xdr:row>3</xdr:row>
      <xdr:rowOff>62753</xdr:rowOff>
    </xdr:from>
    <xdr:to>
      <xdr:col>18</xdr:col>
      <xdr:colOff>242047</xdr:colOff>
      <xdr:row>4</xdr:row>
      <xdr:rowOff>134471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241791B6-0D24-F94C-2A9D-9F17FD4FF9D3}"/>
            </a:ext>
          </a:extLst>
        </xdr:cNvPr>
        <xdr:cNvSpPr txBox="1"/>
      </xdr:nvSpPr>
      <xdr:spPr>
        <a:xfrm>
          <a:off x="9332259" y="600635"/>
          <a:ext cx="1882588" cy="25101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  <a:latin typeface="Century Gothic" panose="020B0502020202020204" pitchFamily="34" charset="0"/>
            </a:rPr>
            <a:t>Receita Total</a:t>
          </a:r>
        </a:p>
      </xdr:txBody>
    </xdr:sp>
    <xdr:clientData/>
  </xdr:twoCellAnchor>
  <xdr:twoCellAnchor>
    <xdr:from>
      <xdr:col>19</xdr:col>
      <xdr:colOff>206188</xdr:colOff>
      <xdr:row>3</xdr:row>
      <xdr:rowOff>35859</xdr:rowOff>
    </xdr:from>
    <xdr:to>
      <xdr:col>22</xdr:col>
      <xdr:colOff>600635</xdr:colOff>
      <xdr:row>4</xdr:row>
      <xdr:rowOff>71718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CC59A9B2-469A-5E98-A908-5E2F15309C44}"/>
            </a:ext>
          </a:extLst>
        </xdr:cNvPr>
        <xdr:cNvSpPr txBox="1"/>
      </xdr:nvSpPr>
      <xdr:spPr>
        <a:xfrm>
          <a:off x="11788588" y="573741"/>
          <a:ext cx="2223247" cy="2151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400" b="1">
              <a:solidFill>
                <a:schemeClr val="bg1"/>
              </a:solidFill>
              <a:latin typeface="Century Gothic" panose="020B0502020202020204" pitchFamily="34" charset="0"/>
            </a:rPr>
            <a:t>Lucro Total</a:t>
          </a:r>
        </a:p>
      </xdr:txBody>
    </xdr:sp>
    <xdr:clientData/>
  </xdr:twoCellAnchor>
  <xdr:twoCellAnchor editAs="oneCell">
    <xdr:from>
      <xdr:col>1</xdr:col>
      <xdr:colOff>590774</xdr:colOff>
      <xdr:row>2</xdr:row>
      <xdr:rowOff>161364</xdr:rowOff>
    </xdr:from>
    <xdr:to>
      <xdr:col>5</xdr:col>
      <xdr:colOff>125505</xdr:colOff>
      <xdr:row>7</xdr:row>
      <xdr:rowOff>53786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0" name="Anos (Data da Venda)">
              <a:extLst>
                <a:ext uri="{FF2B5EF4-FFF2-40B4-BE49-F238E27FC236}">
                  <a16:creationId xmlns:a16="http://schemas.microsoft.com/office/drawing/2014/main" id="{8E8DE023-A6F7-1883-8C02-B67EAEA1C9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s (Data da Venda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374" y="519952"/>
              <a:ext cx="1973131" cy="7888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0.12868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24F0EA29-BF35-6B03-7763-1EFBB1F40460}"/>
            </a:ext>
          </a:extLst>
        </cdr:cNvPr>
        <cdr:cNvSpPr/>
      </cdr:nvSpPr>
      <cdr:spPr>
        <a:xfrm xmlns:a="http://schemas.openxmlformats.org/drawingml/2006/main">
          <a:off x="0" y="0"/>
          <a:ext cx="4688541" cy="313764"/>
        </a:xfrm>
        <a:prstGeom xmlns:a="http://schemas.openxmlformats.org/drawingml/2006/main" prst="rect">
          <a:avLst/>
        </a:prstGeom>
        <a:solidFill xmlns:a="http://schemas.openxmlformats.org/drawingml/2006/main">
          <a:srgbClr val="FF3399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latin typeface="Century Gothic" panose="020B0502020202020204" pitchFamily="34" charset="0"/>
            </a:rPr>
            <a:t>Representatividade</a:t>
          </a:r>
          <a:r>
            <a:rPr lang="pt-BR" sz="1600" b="1" baseline="0">
              <a:latin typeface="Century Gothic" panose="020B0502020202020204" pitchFamily="34" charset="0"/>
            </a:rPr>
            <a:t> por Cliente</a:t>
          </a:r>
          <a:endParaRPr lang="pt-BR" sz="1600" b="1">
            <a:latin typeface="Century Gothic" panose="020B0502020202020204" pitchFamily="34" charset="0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0.15174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24F0EA29-BF35-6B03-7763-1EFBB1F40460}"/>
            </a:ext>
          </a:extLst>
        </cdr:cNvPr>
        <cdr:cNvSpPr/>
      </cdr:nvSpPr>
      <cdr:spPr>
        <a:xfrm xmlns:a="http://schemas.openxmlformats.org/drawingml/2006/main">
          <a:off x="0" y="0"/>
          <a:ext cx="4684700" cy="313764"/>
        </a:xfrm>
        <a:prstGeom xmlns:a="http://schemas.openxmlformats.org/drawingml/2006/main" prst="rect">
          <a:avLst/>
        </a:prstGeom>
        <a:solidFill xmlns:a="http://schemas.openxmlformats.org/drawingml/2006/main">
          <a:srgbClr val="FF3399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latin typeface="Century Gothic" panose="020B0502020202020204" pitchFamily="34" charset="0"/>
            </a:rPr>
            <a:t>Representatividade</a:t>
          </a:r>
          <a:r>
            <a:rPr lang="pt-BR" sz="1600" b="1" baseline="0">
              <a:latin typeface="Century Gothic" panose="020B0502020202020204" pitchFamily="34" charset="0"/>
            </a:rPr>
            <a:t> por Região</a:t>
          </a:r>
          <a:endParaRPr lang="pt-BR" sz="1600" b="1">
            <a:latin typeface="Century Gothic" panose="020B0502020202020204" pitchFamily="34" charset="0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0.00078</cdr:x>
      <cdr:y>0.0024</cdr:y>
    </cdr:from>
    <cdr:to>
      <cdr:x>1</cdr:x>
      <cdr:y>0.12859</cdr:y>
    </cdr:to>
    <cdr:sp macro="" textlink="">
      <cdr:nvSpPr>
        <cdr:cNvPr id="2" name="Retângulo 1">
          <a:extLst xmlns:a="http://schemas.openxmlformats.org/drawingml/2006/main">
            <a:ext uri="{FF2B5EF4-FFF2-40B4-BE49-F238E27FC236}">
              <a16:creationId xmlns:a16="http://schemas.microsoft.com/office/drawing/2014/main" id="{24F0EA29-BF35-6B03-7763-1EFBB1F40460}"/>
            </a:ext>
          </a:extLst>
        </cdr:cNvPr>
        <cdr:cNvSpPr/>
      </cdr:nvSpPr>
      <cdr:spPr>
        <a:xfrm xmlns:a="http://schemas.openxmlformats.org/drawingml/2006/main">
          <a:off x="5976" y="5977"/>
          <a:ext cx="7660233" cy="313764"/>
        </a:xfrm>
        <a:prstGeom xmlns:a="http://schemas.openxmlformats.org/drawingml/2006/main" prst="rect">
          <a:avLst/>
        </a:prstGeom>
        <a:solidFill xmlns:a="http://schemas.openxmlformats.org/drawingml/2006/main">
          <a:srgbClr val="FF3399"/>
        </a:solidFill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latin typeface="Century Gothic" panose="020B0502020202020204" pitchFamily="34" charset="0"/>
            </a:rPr>
            <a:t>Vendas</a:t>
          </a:r>
          <a:r>
            <a:rPr lang="pt-BR" sz="1600" b="1" baseline="0">
              <a:latin typeface="Century Gothic" panose="020B0502020202020204" pitchFamily="34" charset="0"/>
            </a:rPr>
            <a:t> por Clientes x Região</a:t>
          </a:r>
          <a:endParaRPr lang="pt-BR" sz="1600" b="1">
            <a:latin typeface="Century Gothic" panose="020B0502020202020204" pitchFamily="34" charset="0"/>
          </a:endParaRP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" refreshedDate="46054.746445254626" createdVersion="8" refreshedVersion="8" minRefreshableVersion="3" recordCount="29" xr:uid="{51D6B2C4-340C-4161-8E93-44366C59B4D2}">
  <cacheSource type="worksheet">
    <worksheetSource name="Tabela_Vendas"/>
  </cacheSource>
  <cacheFields count="20">
    <cacheField name="ID_Pedido" numFmtId="0">
      <sharedItems/>
    </cacheField>
    <cacheField name="Data da Venda" numFmtId="14">
      <sharedItems containsSemiMixedTypes="0" containsNonDate="0" containsDate="1" containsString="0" minDate="2026-01-01T00:00:00" maxDate="2026-01-16T00:00:00" count="1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</sharedItems>
      <fieldGroup par="19"/>
    </cacheField>
    <cacheField name="ID_Representantes" numFmtId="0">
      <sharedItems containsSemiMixedTypes="0" containsString="0" containsNumber="1" containsInteger="1" minValue="1001" maxValue="1015"/>
    </cacheField>
    <cacheField name="Nome_representante" numFmtId="0">
      <sharedItems count="15">
        <s v="Amelia"/>
        <s v="Bruno"/>
        <s v="Jão"/>
        <s v="Fernanda"/>
        <s v="Camila"/>
        <s v="marcelo"/>
        <s v="marcela"/>
        <s v="uno"/>
        <s v="luna"/>
        <s v="sofia"/>
        <s v="armando"/>
        <s v="gerdrudes"/>
        <s v="gabi"/>
        <s v="amanda"/>
        <s v="xuxa"/>
      </sharedItems>
    </cacheField>
    <cacheField name="Id_Produto" numFmtId="0">
      <sharedItems containsSemiMixedTypes="0" containsString="0" containsNumber="1" containsInteger="1" minValue="9001" maxValue="9057"/>
    </cacheField>
    <cacheField name="Nome_produto" numFmtId="0">
      <sharedItems count="27">
        <s v="Tênis de corrida"/>
        <s v="Calça Legging"/>
        <s v="Bermuda "/>
        <s v="Mochila"/>
        <s v="Jaqueta"/>
        <s v="Short"/>
        <s v="Chinelo"/>
        <s v="Bolsa"/>
        <s v="aranha"/>
        <s v="colar"/>
        <s v="regata"/>
        <s v="pircn"/>
        <s v="gola"/>
        <s v="blusa de frio"/>
        <s v="vestido"/>
        <s v="argola"/>
        <s v="saia"/>
        <s v="saia "/>
        <s v="short saia"/>
        <s v="vestido innfantil"/>
        <s v="sandalha"/>
        <s v="rasterinha"/>
        <s v="sapato"/>
        <s v="capus"/>
        <s v="bone"/>
        <s v="cinto"/>
        <s v="cinto rosa"/>
      </sharedItems>
    </cacheField>
    <cacheField name="Custo" numFmtId="0">
      <sharedItems containsSemiMixedTypes="0" containsString="0" containsNumber="1" containsInteger="1" minValue="10" maxValue="6554"/>
    </cacheField>
    <cacheField name="Valor_produto" numFmtId="0">
      <sharedItems containsSemiMixedTypes="0" containsString="0" containsNumber="1" containsInteger="1" minValue="12" maxValue="4432"/>
    </cacheField>
    <cacheField name="Quantidade_venda" numFmtId="0">
      <sharedItems containsSemiMixedTypes="0" containsString="0" containsNumber="1" containsInteger="1" minValue="3" maxValue="345"/>
    </cacheField>
    <cacheField name="Custo_total_venda" numFmtId="0">
      <sharedItems containsSemiMixedTypes="0" containsString="0" containsNumber="1" containsInteger="1" minValue="180" maxValue="155610"/>
    </cacheField>
    <cacheField name="Valor_total_venda" numFmtId="0">
      <sharedItems containsSemiMixedTypes="0" containsString="0" containsNumber="1" containsInteger="1" minValue="48" maxValue="146280" count="27">
        <n v="9588"/>
        <n v="2660"/>
        <n v="1862"/>
        <n v="4851"/>
        <n v="2403"/>
        <n v="980"/>
        <n v="6479"/>
        <n v="2992"/>
        <n v="4182"/>
        <n v="442"/>
        <n v="10914"/>
        <n v="56628"/>
        <n v="92"/>
        <n v="48"/>
        <n v="13296"/>
        <n v="146280"/>
        <n v="54756"/>
        <n v="11628"/>
        <n v="7956"/>
        <n v="14382"/>
        <n v="8262"/>
        <n v="15470"/>
        <n v="14416"/>
        <n v="12070"/>
        <n v="3026"/>
        <n v="2210"/>
        <n v="1904"/>
      </sharedItems>
    </cacheField>
    <cacheField name="Lucro" numFmtId="0">
      <sharedItems containsSemiMixedTypes="0" containsString="0" containsNumber="1" containsInteger="1" minValue="-98982" maxValue="126960"/>
    </cacheField>
    <cacheField name="Códig Cliente" numFmtId="0">
      <sharedItems containsSemiMixedTypes="0" containsString="0" containsNumber="1" containsInteger="1" minValue="5001" maxValue="5006"/>
    </cacheField>
    <cacheField name="Nome Cliente" numFmtId="0">
      <sharedItems count="6">
        <s v="Judas"/>
        <s v="Sam"/>
        <s v="Dean"/>
        <s v="Pritt"/>
        <s v="Manu"/>
        <s v="Adobe"/>
      </sharedItems>
    </cacheField>
    <cacheField name="Cidade" numFmtId="0">
      <sharedItems/>
    </cacheField>
    <cacheField name="Estado" numFmtId="0">
      <sharedItems count="7">
        <s v="Distrito Federal"/>
        <s v="São Paulo"/>
        <s v="Paraná"/>
        <s v="Amazonas"/>
        <s v="Pernambuco"/>
        <s v="Pará"/>
        <s v="Mato Grosso"/>
      </sharedItems>
    </cacheField>
    <cacheField name="Região" numFmtId="0">
      <sharedItems count="5">
        <s v="Sudeste"/>
        <s v="Nordeste"/>
        <s v="Sul"/>
        <s v="Norte"/>
        <s v="Centro-Oeste"/>
      </sharedItems>
    </cacheField>
    <cacheField name="Meses (Data da Venda)" numFmtId="0" databaseField="0">
      <fieldGroup base="1">
        <rangePr groupBy="months" startDate="2026-01-01T00:00:00" endDate="2026-01-16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6/01/2026"/>
        </groupItems>
      </fieldGroup>
    </cacheField>
    <cacheField name="Trimestres (Data da Venda)" numFmtId="0" databaseField="0">
      <fieldGroup base="1">
        <rangePr groupBy="quarters" startDate="2026-01-01T00:00:00" endDate="2026-01-16T00:00:00"/>
        <groupItems count="6">
          <s v="&lt;01/01/2026"/>
          <s v="Trim1"/>
          <s v="Trim2"/>
          <s v="Trim3"/>
          <s v="Trim4"/>
          <s v="&gt;16/01/2026"/>
        </groupItems>
      </fieldGroup>
    </cacheField>
    <cacheField name="Anos (Data da Venda)" numFmtId="0" databaseField="0">
      <fieldGroup base="1">
        <rangePr groupBy="years" startDate="2026-01-01T00:00:00" endDate="2026-01-16T00:00:00"/>
        <groupItems count="3">
          <s v="&lt;01/01/2026"/>
          <s v="2026"/>
          <s v="&gt;16/01/2026"/>
        </groupItems>
      </fieldGroup>
    </cacheField>
  </cacheFields>
  <extLst>
    <ext xmlns:x14="http://schemas.microsoft.com/office/spreadsheetml/2009/9/main" uri="{725AE2AE-9491-48be-B2B4-4EB974FC3084}">
      <x14:pivotCacheDefinition pivotCacheId="3825136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s v="D00001"/>
    <x v="0"/>
    <n v="1001"/>
    <x v="0"/>
    <n v="9001"/>
    <x v="0"/>
    <n v="344"/>
    <n v="799"/>
    <n v="12"/>
    <n v="4128"/>
    <x v="0"/>
    <n v="5460"/>
    <n v="5001"/>
    <x v="0"/>
    <s v="Brasília"/>
    <x v="0"/>
    <x v="0"/>
  </r>
  <r>
    <s v="D00002"/>
    <x v="0"/>
    <n v="1002"/>
    <x v="1"/>
    <n v="9003"/>
    <x v="1"/>
    <n v="70"/>
    <n v="140"/>
    <n v="19"/>
    <n v="1330"/>
    <x v="1"/>
    <n v="1330"/>
    <n v="5002"/>
    <x v="1"/>
    <s v="São Paulo"/>
    <x v="1"/>
    <x v="1"/>
  </r>
  <r>
    <s v="D00003"/>
    <x v="1"/>
    <n v="1002"/>
    <x v="1"/>
    <n v="9005"/>
    <x v="2"/>
    <n v="25"/>
    <n v="133"/>
    <n v="14"/>
    <n v="350"/>
    <x v="2"/>
    <n v="1512"/>
    <n v="5003"/>
    <x v="2"/>
    <s v="Curitiba"/>
    <x v="2"/>
    <x v="2"/>
  </r>
  <r>
    <s v="D00004"/>
    <x v="1"/>
    <n v="1003"/>
    <x v="2"/>
    <n v="9007"/>
    <x v="3"/>
    <n v="88"/>
    <n v="231"/>
    <n v="21"/>
    <n v="1848"/>
    <x v="3"/>
    <n v="3003"/>
    <n v="5004"/>
    <x v="3"/>
    <s v="Brasília"/>
    <x v="0"/>
    <x v="3"/>
  </r>
  <r>
    <s v="D00005"/>
    <x v="2"/>
    <n v="1003"/>
    <x v="2"/>
    <n v="9009"/>
    <x v="4"/>
    <n v="45"/>
    <n v="89"/>
    <n v="27"/>
    <n v="1215"/>
    <x v="4"/>
    <n v="1188"/>
    <n v="5006"/>
    <x v="4"/>
    <s v="Manaus"/>
    <x v="3"/>
    <x v="4"/>
  </r>
  <r>
    <s v="D00006"/>
    <x v="2"/>
    <n v="1004"/>
    <x v="3"/>
    <n v="9011"/>
    <x v="5"/>
    <n v="13"/>
    <n v="35"/>
    <n v="28"/>
    <n v="364"/>
    <x v="5"/>
    <n v="616"/>
    <n v="5005"/>
    <x v="5"/>
    <s v="Recife"/>
    <x v="4"/>
    <x v="0"/>
  </r>
  <r>
    <s v="D00007"/>
    <x v="3"/>
    <n v="1004"/>
    <x v="3"/>
    <n v="9013"/>
    <x v="6"/>
    <n v="10"/>
    <n v="209"/>
    <n v="31"/>
    <n v="310"/>
    <x v="6"/>
    <n v="6169"/>
    <n v="5001"/>
    <x v="0"/>
    <s v="Belém"/>
    <x v="5"/>
    <x v="1"/>
  </r>
  <r>
    <s v="D00008"/>
    <x v="3"/>
    <n v="1005"/>
    <x v="4"/>
    <n v="9015"/>
    <x v="7"/>
    <n v="36"/>
    <n v="88"/>
    <n v="34"/>
    <n v="1224"/>
    <x v="7"/>
    <n v="1768"/>
    <n v="5002"/>
    <x v="1"/>
    <s v="Cuiabá"/>
    <x v="6"/>
    <x v="2"/>
  </r>
  <r>
    <s v="D00009"/>
    <x v="4"/>
    <n v="1005"/>
    <x v="4"/>
    <n v="9017"/>
    <x v="8"/>
    <n v="46"/>
    <n v="123"/>
    <n v="34"/>
    <n v="1564"/>
    <x v="8"/>
    <n v="2618"/>
    <n v="5003"/>
    <x v="2"/>
    <s v="Brasília"/>
    <x v="0"/>
    <x v="3"/>
  </r>
  <r>
    <s v="D00010"/>
    <x v="4"/>
    <n v="1006"/>
    <x v="5"/>
    <n v="9019"/>
    <x v="9"/>
    <n v="45"/>
    <n v="13"/>
    <n v="34"/>
    <n v="1530"/>
    <x v="9"/>
    <n v="-1088"/>
    <n v="5004"/>
    <x v="3"/>
    <s v="São Paulo"/>
    <x v="1"/>
    <x v="4"/>
  </r>
  <r>
    <s v="D00011"/>
    <x v="5"/>
    <n v="1006"/>
    <x v="5"/>
    <n v="9021"/>
    <x v="10"/>
    <n v="546"/>
    <n v="321"/>
    <n v="34"/>
    <n v="18564"/>
    <x v="10"/>
    <n v="-7650"/>
    <n v="5005"/>
    <x v="5"/>
    <s v="Curitiba"/>
    <x v="2"/>
    <x v="0"/>
  </r>
  <r>
    <s v="D00012"/>
    <x v="5"/>
    <n v="1007"/>
    <x v="6"/>
    <n v="9023"/>
    <x v="11"/>
    <n v="665"/>
    <n v="242"/>
    <n v="234"/>
    <n v="155610"/>
    <x v="11"/>
    <n v="-98982"/>
    <n v="5006"/>
    <x v="4"/>
    <s v="Brasília"/>
    <x v="0"/>
    <x v="1"/>
  </r>
  <r>
    <s v="D00013"/>
    <x v="6"/>
    <n v="1007"/>
    <x v="6"/>
    <n v="9025"/>
    <x v="12"/>
    <n v="45"/>
    <n v="23"/>
    <n v="4"/>
    <n v="180"/>
    <x v="12"/>
    <n v="-88"/>
    <n v="5001"/>
    <x v="0"/>
    <s v="Manaus"/>
    <x v="3"/>
    <x v="2"/>
  </r>
  <r>
    <s v="D00014"/>
    <x v="6"/>
    <n v="1008"/>
    <x v="7"/>
    <n v="9027"/>
    <x v="13"/>
    <n v="457"/>
    <n v="12"/>
    <n v="4"/>
    <n v="1828"/>
    <x v="13"/>
    <n v="-1780"/>
    <n v="5002"/>
    <x v="1"/>
    <s v="Recife"/>
    <x v="4"/>
    <x v="3"/>
  </r>
  <r>
    <s v="D00015"/>
    <x v="7"/>
    <n v="1008"/>
    <x v="7"/>
    <n v="9029"/>
    <x v="14"/>
    <n v="6554"/>
    <n v="4432"/>
    <n v="3"/>
    <n v="19662"/>
    <x v="14"/>
    <n v="-6366"/>
    <n v="5006"/>
    <x v="4"/>
    <s v="Belém"/>
    <x v="5"/>
    <x v="4"/>
  </r>
  <r>
    <s v="D00016"/>
    <x v="7"/>
    <n v="1009"/>
    <x v="8"/>
    <n v="9031"/>
    <x v="15"/>
    <n v="56"/>
    <n v="424"/>
    <n v="345"/>
    <n v="19320"/>
    <x v="15"/>
    <n v="126960"/>
    <n v="5003"/>
    <x v="2"/>
    <s v="Cuiabá"/>
    <x v="6"/>
    <x v="0"/>
  </r>
  <r>
    <s v="D00017"/>
    <x v="8"/>
    <n v="1009"/>
    <x v="8"/>
    <n v="9033"/>
    <x v="16"/>
    <n v="56"/>
    <n v="234"/>
    <n v="234"/>
    <n v="13104"/>
    <x v="16"/>
    <n v="41652"/>
    <n v="5004"/>
    <x v="3"/>
    <s v="Brasília"/>
    <x v="0"/>
    <x v="1"/>
  </r>
  <r>
    <s v="D00018"/>
    <x v="8"/>
    <n v="1010"/>
    <x v="9"/>
    <n v="9035"/>
    <x v="17"/>
    <n v="90"/>
    <n v="342"/>
    <n v="34"/>
    <n v="3060"/>
    <x v="17"/>
    <n v="8568"/>
    <n v="5003"/>
    <x v="2"/>
    <s v="São Paulo"/>
    <x v="1"/>
    <x v="2"/>
  </r>
  <r>
    <s v="D00019"/>
    <x v="9"/>
    <n v="1010"/>
    <x v="9"/>
    <n v="9037"/>
    <x v="18"/>
    <n v="54"/>
    <n v="234"/>
    <n v="34"/>
    <n v="1836"/>
    <x v="18"/>
    <n v="6120"/>
    <n v="5005"/>
    <x v="5"/>
    <s v="Curitiba"/>
    <x v="2"/>
    <x v="3"/>
  </r>
  <r>
    <s v="D00020"/>
    <x v="9"/>
    <n v="1011"/>
    <x v="10"/>
    <n v="9039"/>
    <x v="19"/>
    <n v="45"/>
    <n v="423"/>
    <n v="34"/>
    <n v="1530"/>
    <x v="19"/>
    <n v="12852"/>
    <n v="5006"/>
    <x v="4"/>
    <s v="Brasília"/>
    <x v="0"/>
    <x v="4"/>
  </r>
  <r>
    <s v="D00021"/>
    <x v="10"/>
    <n v="1011"/>
    <x v="10"/>
    <n v="9041"/>
    <x v="0"/>
    <n v="67"/>
    <n v="243"/>
    <n v="34"/>
    <n v="2278"/>
    <x v="20"/>
    <n v="5984"/>
    <n v="5001"/>
    <x v="0"/>
    <s v="Manaus"/>
    <x v="3"/>
    <x v="0"/>
  </r>
  <r>
    <s v="D00022"/>
    <x v="10"/>
    <n v="1012"/>
    <x v="11"/>
    <n v="9043"/>
    <x v="20"/>
    <n v="45"/>
    <n v="243"/>
    <n v="34"/>
    <n v="1530"/>
    <x v="20"/>
    <n v="6732"/>
    <n v="5002"/>
    <x v="1"/>
    <s v="Recife"/>
    <x v="4"/>
    <x v="1"/>
  </r>
  <r>
    <s v="D00023"/>
    <x v="11"/>
    <n v="1012"/>
    <x v="11"/>
    <n v="9045"/>
    <x v="6"/>
    <n v="75"/>
    <n v="455"/>
    <n v="34"/>
    <n v="2550"/>
    <x v="21"/>
    <n v="12920"/>
    <n v="5003"/>
    <x v="2"/>
    <s v="Belém"/>
    <x v="5"/>
    <x v="2"/>
  </r>
  <r>
    <s v="D00024"/>
    <x v="11"/>
    <n v="1013"/>
    <x v="12"/>
    <n v="9047"/>
    <x v="21"/>
    <n v="54"/>
    <n v="424"/>
    <n v="34"/>
    <n v="1836"/>
    <x v="22"/>
    <n v="12580"/>
    <n v="5004"/>
    <x v="3"/>
    <s v="Cuiabá"/>
    <x v="6"/>
    <x v="3"/>
  </r>
  <r>
    <s v="D00025"/>
    <x v="12"/>
    <n v="1013"/>
    <x v="12"/>
    <n v="9049"/>
    <x v="22"/>
    <n v="22"/>
    <n v="355"/>
    <n v="34"/>
    <n v="748"/>
    <x v="23"/>
    <n v="11322"/>
    <n v="5005"/>
    <x v="5"/>
    <s v="Brasília"/>
    <x v="0"/>
    <x v="4"/>
  </r>
  <r>
    <s v="D00026"/>
    <x v="12"/>
    <n v="1014"/>
    <x v="13"/>
    <n v="9051"/>
    <x v="23"/>
    <n v="43"/>
    <n v="89"/>
    <n v="34"/>
    <n v="1462"/>
    <x v="24"/>
    <n v="1564"/>
    <n v="5006"/>
    <x v="4"/>
    <s v="São Paulo"/>
    <x v="1"/>
    <x v="0"/>
  </r>
  <r>
    <s v="D00027"/>
    <x v="13"/>
    <n v="1014"/>
    <x v="13"/>
    <n v="9053"/>
    <x v="24"/>
    <n v="12"/>
    <n v="89"/>
    <n v="34"/>
    <n v="408"/>
    <x v="24"/>
    <n v="2618"/>
    <n v="5004"/>
    <x v="3"/>
    <s v="Curitiba"/>
    <x v="2"/>
    <x v="1"/>
  </r>
  <r>
    <s v="D00028"/>
    <x v="13"/>
    <n v="1015"/>
    <x v="14"/>
    <n v="9055"/>
    <x v="25"/>
    <n v="69"/>
    <n v="65"/>
    <n v="34"/>
    <n v="2346"/>
    <x v="25"/>
    <n v="-136"/>
    <n v="5004"/>
    <x v="3"/>
    <s v="Brasília"/>
    <x v="0"/>
    <x v="2"/>
  </r>
  <r>
    <s v="D00029"/>
    <x v="14"/>
    <n v="1015"/>
    <x v="14"/>
    <n v="9057"/>
    <x v="26"/>
    <n v="23"/>
    <n v="56"/>
    <n v="34"/>
    <n v="782"/>
    <x v="26"/>
    <n v="1122"/>
    <n v="5005"/>
    <x v="5"/>
    <s v="Manaus"/>
    <x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EDBEE8-138C-4381-9CBB-5F2035626833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F3:G5" firstHeaderRow="1" firstDataRow="1" firstDataCol="1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sd="0" x="1"/>
        <item x="2"/>
        <item x="3"/>
        <item x="4"/>
        <item x="5"/>
        <item t="default"/>
      </items>
    </pivotField>
    <pivotField axis="axisRow" showAll="0">
      <items count="4">
        <item h="1" x="0"/>
        <item sd="0" x="1"/>
        <item h="1" x="2"/>
        <item t="default"/>
      </items>
    </pivotField>
  </pivotFields>
  <rowFields count="3">
    <field x="19"/>
    <field x="18"/>
    <field x="17"/>
  </rowFields>
  <rowItems count="2">
    <i>
      <x v="1"/>
    </i>
    <i t="grand">
      <x/>
    </i>
  </rowItems>
  <colItems count="1">
    <i/>
  </colItems>
  <dataFields count="1">
    <dataField name="Soma de Valor_total_venda" fld="10" baseField="0" baseItem="0"/>
  </dataFields>
  <formats count="1">
    <format dxfId="0">
      <pivotArea outline="0" collapsedLevelsAreSubtotals="1" fieldPosition="0"/>
    </format>
  </formats>
  <chartFormats count="2">
    <chartFormat chart="7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982F4D-C0A2-4B87-99E2-FE524288B80C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I3:O11" firstHeaderRow="1" firstDataRow="2" firstDataCol="1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axis="axisRow" showAll="0">
      <items count="7">
        <item x="5"/>
        <item x="2"/>
        <item x="0"/>
        <item x="4"/>
        <item x="3"/>
        <item x="1"/>
        <item t="default"/>
      </items>
    </pivotField>
    <pivotField showAll="0"/>
    <pivotField showAll="0"/>
    <pivotField axis="axisCol" showAll="0">
      <items count="6">
        <item x="4"/>
        <item x="1"/>
        <item x="3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oma de Valor_total_venda" fld="10" baseField="0" baseItem="0" numFmtId="166"/>
  </dataFields>
  <formats count="1">
    <format dxfId="1">
      <pivotArea type="all" dataOnly="0" outline="0" fieldPosition="0"/>
    </format>
  </formats>
  <conditionalFormats count="1">
    <conditionalFormat type="all" priority="1">
      <pivotAreas count="1">
        <pivotArea type="all" outline="0" fieldPosition="0"/>
      </pivotAreas>
    </conditionalFormat>
  </conditionalFormats>
  <chartFormats count="24"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23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3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3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2" format="2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32" format="2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32" format="2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32" format="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32" format="2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32" format="25">
      <pivotArea type="data" outline="0" fieldPosition="0">
        <references count="3">
          <reference field="4294967294" count="1" selected="0">
            <x v="0"/>
          </reference>
          <reference field="13" count="1" selected="0">
            <x v="2"/>
          </reference>
          <reference field="16" count="1" selected="0">
            <x v="4"/>
          </reference>
        </references>
      </pivotArea>
    </chartFormat>
    <chartFormat chart="32" format="26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6" count="1" selected="0">
            <x v="0"/>
          </reference>
        </references>
      </pivotArea>
    </chartFormat>
    <chartFormat chart="32" format="27">
      <pivotArea type="data" outline="0" fieldPosition="0">
        <references count="3">
          <reference field="4294967294" count="1" selected="0">
            <x v="0"/>
          </reference>
          <reference field="13" count="1" selected="0">
            <x v="1"/>
          </reference>
          <reference field="16" count="1" selected="0">
            <x v="2"/>
          </reference>
        </references>
      </pivotArea>
    </chartFormat>
    <chartFormat chart="32" format="28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6" count="1" selected="0">
            <x v="1"/>
          </reference>
        </references>
      </pivotArea>
    </chartFormat>
    <chartFormat chart="32" format="29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6" count="1" selected="0">
            <x v="2"/>
          </reference>
        </references>
      </pivotArea>
    </chartFormat>
    <chartFormat chart="32" format="30">
      <pivotArea type="data" outline="0" fieldPosition="0">
        <references count="3">
          <reference field="4294967294" count="1" selected="0">
            <x v="0"/>
          </reference>
          <reference field="13" count="1" selected="0">
            <x v="4"/>
          </reference>
          <reference field="16" count="1" selected="0">
            <x v="4"/>
          </reference>
        </references>
      </pivotArea>
    </chartFormat>
    <chartFormat chart="32" format="31">
      <pivotArea type="data" outline="0" fieldPosition="0">
        <references count="3">
          <reference field="4294967294" count="1" selected="0">
            <x v="0"/>
          </reference>
          <reference field="13" count="1" selected="0">
            <x v="5"/>
          </reference>
          <reference field="16" count="1" selected="0">
            <x v="2"/>
          </reference>
        </references>
      </pivotArea>
    </chartFormat>
    <chartFormat chart="32" format="32">
      <pivotArea type="data" outline="0" fieldPosition="0">
        <references count="3">
          <reference field="4294967294" count="1" selected="0">
            <x v="0"/>
          </reference>
          <reference field="13" count="1" selected="0">
            <x v="3"/>
          </reference>
          <reference field="16" count="1" selected="0">
            <x v="3"/>
          </reference>
        </references>
      </pivotArea>
    </chartFormat>
    <chartFormat chart="32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476C2B-C82B-4046-809B-FA8D5A713F57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3">
  <location ref="B24:B25" firstHeaderRow="1" firstDataRow="1" firstDataCol="0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 sortType="ascending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Items count="1">
    <i/>
  </rowItems>
  <colItems count="1">
    <i/>
  </colItems>
  <dataFields count="1">
    <dataField name="Soma de Valor_total_venda" fld="10" baseField="0" baseItem="0" numFmtId="44"/>
  </dataFields>
  <formats count="1">
    <format dxfId="2">
      <pivotArea outline="0" collapsedLevelsAreSubtotals="1" fieldPosition="0"/>
    </format>
  </formats>
  <chartFormats count="3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08A96-0CFA-4239-9C8E-41BFA5D23388}" name="Tabela dinâmica8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3">
  <location ref="H24:H25" firstHeaderRow="1" firstDataRow="1" firstDataCol="0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Items count="1">
    <i/>
  </rowItems>
  <colItems count="1">
    <i/>
  </colItems>
  <dataFields count="1">
    <dataField name="Soma de Quantidade_venda" fld="8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57DB28-7410-4765-BD6D-2765FEED2CAB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7">
  <location ref="T3:U19" firstHeaderRow="1" firstDataRow="1" firstDataCol="1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showAll="0">
      <items count="28">
        <item x="8"/>
        <item x="15"/>
        <item x="2"/>
        <item x="13"/>
        <item x="7"/>
        <item x="24"/>
        <item x="1"/>
        <item x="23"/>
        <item x="6"/>
        <item x="25"/>
        <item x="26"/>
        <item x="9"/>
        <item x="12"/>
        <item x="4"/>
        <item x="3"/>
        <item x="11"/>
        <item x="21"/>
        <item x="10"/>
        <item x="16"/>
        <item x="17"/>
        <item x="20"/>
        <item x="22"/>
        <item x="5"/>
        <item x="18"/>
        <item x="0"/>
        <item x="14"/>
        <item x="19"/>
        <item t="default"/>
      </items>
    </pivotField>
    <pivotField showAll="0"/>
    <pivotField showAll="0"/>
    <pivotField showAll="0"/>
    <pivotField showAll="0"/>
    <pivotField dataField="1"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>
      <items count="7">
        <item x="5"/>
        <item x="2"/>
        <item x="0"/>
        <item x="4"/>
        <item x="3"/>
        <item x="1"/>
        <item t="default"/>
      </items>
    </pivotField>
    <pivotField showAll="0"/>
    <pivotField showAll="0"/>
    <pivotField multipleItemSelectionAllowed="1" showAll="0">
      <items count="6">
        <item x="4"/>
        <item x="1"/>
        <item x="3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Valor_total_venda" fld="10" baseField="0" baseItem="0" numFmtId="44"/>
  </dataFields>
  <formats count="1">
    <format dxfId="4">
      <pivotArea outline="0" collapsedLevelsAreSubtotals="1" fieldPosition="0"/>
    </format>
  </formats>
  <chartFormats count="17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6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6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6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6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6" format="23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6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6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6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6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6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10"/>
          </reference>
        </references>
      </pivotArea>
    </chartFormat>
    <chartFormat chart="26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11"/>
          </reference>
        </references>
      </pivotArea>
    </chartFormat>
    <chartFormat chart="26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12"/>
          </reference>
        </references>
      </pivotArea>
    </chartFormat>
    <chartFormat chart="26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13"/>
          </reference>
        </references>
      </pivotArea>
    </chartFormat>
    <chartFormat chart="26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1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56C8F-7712-49A4-B90D-857D09847BE2}" name="Tabela dinâmica7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3">
  <location ref="F24:F25" firstHeaderRow="1" firstDataRow="1" firstDataCol="0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Items count="1">
    <i/>
  </rowItems>
  <colItems count="1">
    <i/>
  </colItems>
  <dataFields count="1">
    <dataField name="Soma de Lucro" fld="11" baseField="0" baseItem="0" numFmtId="44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B8D27-D1F9-454F-A095-C64FB57F021F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Q3:R9" firstHeaderRow="1" firstDataRow="1" firstDataCol="1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showAll="0">
      <items count="28">
        <item x="8"/>
        <item x="15"/>
        <item x="2"/>
        <item x="13"/>
        <item x="7"/>
        <item x="24"/>
        <item x="1"/>
        <item x="23"/>
        <item x="6"/>
        <item x="25"/>
        <item x="26"/>
        <item x="9"/>
        <item x="12"/>
        <item x="4"/>
        <item x="3"/>
        <item x="11"/>
        <item x="21"/>
        <item x="10"/>
        <item x="16"/>
        <item x="17"/>
        <item x="20"/>
        <item x="22"/>
        <item x="5"/>
        <item x="18"/>
        <item x="0"/>
        <item x="14"/>
        <item x="19"/>
        <item t="default"/>
      </items>
    </pivotField>
    <pivotField showAll="0"/>
    <pivotField showAll="0"/>
    <pivotField showAll="0"/>
    <pivotField showAll="0"/>
    <pivotField dataField="1"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/>
    <pivotField showAll="0"/>
    <pivotField showAll="0">
      <items count="8">
        <item x="3"/>
        <item x="0"/>
        <item x="6"/>
        <item x="5"/>
        <item x="2"/>
        <item x="4"/>
        <item x="1"/>
        <item t="default"/>
      </items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1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_total_venda" fld="10" baseField="0" baseItem="0" numFmtId="44"/>
  </dataFields>
  <formats count="1">
    <format dxfId="6">
      <pivotArea outline="0" collapsedLevelsAreSubtotals="1" fieldPosition="0"/>
    </format>
  </formats>
  <chartFormats count="12"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6" format="4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6" format="5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6" format="6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21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4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1" format="15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1" format="16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1" format="17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1" format="18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B96140-15BA-4F07-9489-C7A98EE7C79A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8">
  <location ref="A3:B19" firstHeaderRow="1" firstDataRow="1" firstDataCol="1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axis="axisRow" showAll="0" sortType="ascending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3"/>
  </rowFields>
  <rowItems count="16">
    <i>
      <x v="14"/>
    </i>
    <i>
      <x v="3"/>
    </i>
    <i>
      <x/>
    </i>
    <i>
      <x v="4"/>
    </i>
    <i>
      <x v="8"/>
    </i>
    <i>
      <x v="5"/>
    </i>
    <i>
      <x v="1"/>
    </i>
    <i>
      <x v="11"/>
    </i>
    <i>
      <x v="13"/>
    </i>
    <i>
      <x v="12"/>
    </i>
    <i>
      <x v="2"/>
    </i>
    <i>
      <x v="7"/>
    </i>
    <i>
      <x v="6"/>
    </i>
    <i>
      <x v="10"/>
    </i>
    <i>
      <x v="9"/>
    </i>
    <i t="grand">
      <x/>
    </i>
  </rowItems>
  <colItems count="1">
    <i/>
  </colItems>
  <dataFields count="1">
    <dataField name="Soma de Valor_total_venda" fld="10" baseField="0" baseItem="0" numFmtId="165"/>
  </dataFields>
  <formats count="1">
    <format dxfId="7">
      <pivotArea outline="0" collapsedLevelsAreSubtotals="1" fieldPosition="0"/>
    </format>
  </formats>
  <chartFormats count="5"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395AAE-FEAD-437E-90A2-672674B56092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3">
  <location ref="J24:K26" firstHeaderRow="1" firstDataRow="1" firstDataCol="1"/>
  <pivotFields count="20">
    <pivotField showAll="0"/>
    <pivotField numFmtId="14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showAll="0"/>
    <pivotField showAll="0">
      <items count="16">
        <item x="13"/>
        <item x="0"/>
        <item x="10"/>
        <item x="1"/>
        <item x="4"/>
        <item x="3"/>
        <item x="12"/>
        <item x="11"/>
        <item x="2"/>
        <item x="8"/>
        <item x="6"/>
        <item x="5"/>
        <item x="9"/>
        <item x="7"/>
        <item x="14"/>
        <item t="default"/>
      </items>
    </pivotField>
    <pivotField showAll="0"/>
    <pivotField axis="axisRow" showAll="0" measureFilter="1">
      <items count="28">
        <item x="8"/>
        <item x="15"/>
        <item x="2"/>
        <item x="13"/>
        <item x="7"/>
        <item x="24"/>
        <item x="1"/>
        <item x="23"/>
        <item x="6"/>
        <item x="25"/>
        <item x="26"/>
        <item x="9"/>
        <item x="12"/>
        <item x="4"/>
        <item x="3"/>
        <item x="11"/>
        <item x="21"/>
        <item x="10"/>
        <item x="16"/>
        <item x="17"/>
        <item x="20"/>
        <item x="22"/>
        <item x="5"/>
        <item x="18"/>
        <item x="0"/>
        <item x="14"/>
        <item x="19"/>
        <item t="default"/>
      </items>
    </pivotField>
    <pivotField showAll="0"/>
    <pivotField showAll="0"/>
    <pivotField dataField="1" showAll="0"/>
    <pivotField showAll="0"/>
    <pivotField showAll="0">
      <items count="28">
        <item x="13"/>
        <item x="12"/>
        <item x="9"/>
        <item x="5"/>
        <item x="2"/>
        <item x="26"/>
        <item x="25"/>
        <item x="4"/>
        <item x="1"/>
        <item x="7"/>
        <item x="24"/>
        <item x="8"/>
        <item x="3"/>
        <item x="6"/>
        <item x="18"/>
        <item x="20"/>
        <item x="0"/>
        <item x="10"/>
        <item x="17"/>
        <item x="23"/>
        <item x="14"/>
        <item x="19"/>
        <item x="22"/>
        <item x="21"/>
        <item x="16"/>
        <item x="1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4">
        <item h="1" x="0"/>
        <item x="1"/>
        <item h="1" x="2"/>
        <item t="default"/>
      </items>
    </pivotField>
  </pivotFields>
  <rowFields count="1">
    <field x="5"/>
  </rowFields>
  <rowItems count="2">
    <i>
      <x v="1"/>
    </i>
    <i t="grand">
      <x/>
    </i>
  </rowItems>
  <colItems count="1">
    <i/>
  </colItems>
  <dataFields count="1">
    <dataField name="Soma de Quantidade_venda" fld="8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s__Data_da_Venda" xr10:uid="{EE06A7F5-8C93-4258-BF53-FD8EDE32357A}" sourceName="Anos (Data da Venda)">
  <pivotTables>
    <pivotTable tabId="5" name="Tabela dinâmica1"/>
    <pivotTable tabId="5" name="Tabela dinâmica2"/>
    <pivotTable tabId="5" name="Tabela dinâmica3"/>
    <pivotTable tabId="5" name="Tabela dinâmica4"/>
    <pivotTable tabId="5" name="Tabela dinâmica5"/>
    <pivotTable tabId="5" name="Tabela dinâmica6"/>
    <pivotTable tabId="5" name="Tabela dinâmica7"/>
    <pivotTable tabId="5" name="Tabela dinâmica8"/>
    <pivotTable tabId="5" name="Tabela dinâmica9"/>
  </pivotTables>
  <data>
    <tabular pivotCacheId="382513619">
      <items count="3">
        <i x="1" s="1"/>
        <i x="0" nd="1"/>
        <i x="2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nos (Data da Venda)" xr10:uid="{3374E8BA-826E-4FB1-8DA0-06FA03B6F635}" cache="SegmentaçãodeDados_Anos__Data_da_Venda" caption="Anos (Data da Venda)" style="rosinha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2ADF85-02F0-4019-8B3C-D4A7947BBF32}" name="Tabela_Vendas" displayName="Tabela_Vendas" ref="B1:T30" totalsRowShown="0" headerRowDxfId="30" dataDxfId="29">
  <autoFilter ref="B1:T30" xr:uid="{962ADF85-02F0-4019-8B3C-D4A7947BBF32}"/>
  <tableColumns count="19">
    <tableColumn id="1" xr3:uid="{17B3B793-A885-493D-9E57-AAF40CE931A6}" name="ID_Pedido" dataDxfId="28"/>
    <tableColumn id="2" xr3:uid="{B3E0BA6C-153F-4D77-A8F5-BAC8C85359FA}" name="Data da Venda" dataDxfId="27"/>
    <tableColumn id="21" xr3:uid="{EE24D42D-E066-4F80-A40A-A6EC626E4CA7}" name="Mês" dataDxfId="26">
      <calculatedColumnFormula>TEXT(Tabela_Vendas[[#This Row],[Data da Venda]],"mmmm")</calculatedColumnFormula>
    </tableColumn>
    <tableColumn id="20" xr3:uid="{8C9E5C08-FDCE-440F-B173-AFA3ED5296C5}" name="Ano" dataDxfId="25">
      <calculatedColumnFormula>YEAR(Tabela_Vendas[[#This Row],[Data da Venda]])</calculatedColumnFormula>
    </tableColumn>
    <tableColumn id="3" xr3:uid="{CB5C659D-DCF9-461C-A661-0FF9A0CF0AE2}" name="ID_Representantes" dataDxfId="24"/>
    <tableColumn id="4" xr3:uid="{141F18DB-2693-4ECD-BEC4-8F955DABF986}" name="Nome_representante" dataDxfId="23">
      <calculatedColumnFormula>VLOOKUP(F2,repre,2,0)</calculatedColumnFormula>
    </tableColumn>
    <tableColumn id="5" xr3:uid="{ECA9BAF9-C6C7-45F6-A900-098394224F26}" name="Id_Produto" dataDxfId="22">
      <calculatedColumnFormula>H1+2</calculatedColumnFormula>
    </tableColumn>
    <tableColumn id="6" xr3:uid="{F475D41A-02BD-4B3F-B57D-1CC1CB3224CE}" name="Nome_produto" dataDxfId="21">
      <calculatedColumnFormula>VLOOKUP(H2,produ,2,0)</calculatedColumnFormula>
    </tableColumn>
    <tableColumn id="7" xr3:uid="{06C74C3D-ED9F-4F3F-A1E3-8C0402D35496}" name="Custo" dataDxfId="20">
      <calculatedColumnFormula>VLOOKUP(H2,produ,4,0)</calculatedColumnFormula>
    </tableColumn>
    <tableColumn id="8" xr3:uid="{5C79D292-A8AB-4055-B1B2-92CCD5D1EE3E}" name="Valor_produto" dataDxfId="19">
      <calculatedColumnFormula>VLOOKUP(H2,produ,3,0)</calculatedColumnFormula>
    </tableColumn>
    <tableColumn id="9" xr3:uid="{86D68D0D-4819-4D31-9661-25F98E03BF84}" name="Quantidade_venda" dataDxfId="18"/>
    <tableColumn id="10" xr3:uid="{98842A6F-0259-4FC1-9167-9107438DE68F}" name="Custo_total_venda" dataDxfId="17">
      <calculatedColumnFormula>J2*L2</calculatedColumnFormula>
    </tableColumn>
    <tableColumn id="11" xr3:uid="{043F3965-2E98-43AA-BA64-2382946DE531}" name="Valor_total_venda" dataDxfId="16">
      <calculatedColumnFormula>L2*K2</calculatedColumnFormula>
    </tableColumn>
    <tableColumn id="12" xr3:uid="{0BDCC1D7-C2C5-4644-A872-3356451B5AA9}" name="Lucro" dataDxfId="15">
      <calculatedColumnFormula>N2-M2</calculatedColumnFormula>
    </tableColumn>
    <tableColumn id="13" xr3:uid="{507C7C45-BE82-45D9-9C33-E2C896D62F5C}" name="Códig Cliente" dataDxfId="14"/>
    <tableColumn id="14" xr3:uid="{17C143DA-BF0D-4E5C-A4A8-3DC91019D8D4}" name="Nome Cliente" dataDxfId="13">
      <calculatedColumnFormula>VLOOKUP(P2,cliente,2,0)</calculatedColumnFormula>
    </tableColumn>
    <tableColumn id="15" xr3:uid="{5462A7CB-D10F-4BC0-9C23-33E170C01D18}" name="Cidade" dataDxfId="12"/>
    <tableColumn id="16" xr3:uid="{744D2461-B8FE-417E-BC40-8521CDCA92A0}" name="Estado" dataDxfId="11"/>
    <tableColumn id="17" xr3:uid="{2D076079-1FF3-4D98-A7E9-2357E1E07007}" name="Região" dataDxfId="1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A5A6-E6B4-49A2-9591-F5E57C2C7C83}">
  <dimension ref="B1:E34"/>
  <sheetViews>
    <sheetView workbookViewId="0">
      <selection activeCell="D25" sqref="D25"/>
    </sheetView>
  </sheetViews>
  <sheetFormatPr defaultRowHeight="14.4" x14ac:dyDescent="0.3"/>
  <cols>
    <col min="2" max="5" width="17.5546875" customWidth="1"/>
  </cols>
  <sheetData>
    <row r="1" spans="2:5" ht="18" x14ac:dyDescent="0.35">
      <c r="B1" s="8" t="s">
        <v>65</v>
      </c>
      <c r="C1" s="8" t="s">
        <v>66</v>
      </c>
      <c r="D1" s="8" t="s">
        <v>67</v>
      </c>
      <c r="E1" s="8" t="s">
        <v>68</v>
      </c>
    </row>
    <row r="2" spans="2:5" x14ac:dyDescent="0.3">
      <c r="B2" s="6">
        <v>9001</v>
      </c>
      <c r="C2" s="6" t="s">
        <v>69</v>
      </c>
      <c r="D2" s="6">
        <v>799</v>
      </c>
      <c r="E2" s="6">
        <v>344</v>
      </c>
    </row>
    <row r="3" spans="2:5" x14ac:dyDescent="0.3">
      <c r="B3" s="6">
        <f t="shared" ref="B3:B30" si="0">B2+2</f>
        <v>9003</v>
      </c>
      <c r="C3" s="6" t="s">
        <v>70</v>
      </c>
      <c r="D3" s="6">
        <v>140</v>
      </c>
      <c r="E3" s="6">
        <v>70</v>
      </c>
    </row>
    <row r="4" spans="2:5" x14ac:dyDescent="0.3">
      <c r="B4" s="6">
        <f t="shared" si="0"/>
        <v>9005</v>
      </c>
      <c r="C4" s="6" t="s">
        <v>71</v>
      </c>
      <c r="D4" s="6">
        <v>133</v>
      </c>
      <c r="E4" s="6">
        <v>25</v>
      </c>
    </row>
    <row r="5" spans="2:5" x14ac:dyDescent="0.3">
      <c r="B5" s="6">
        <f t="shared" si="0"/>
        <v>9007</v>
      </c>
      <c r="C5" s="6" t="s">
        <v>72</v>
      </c>
      <c r="D5" s="6">
        <v>231</v>
      </c>
      <c r="E5" s="6">
        <v>88</v>
      </c>
    </row>
    <row r="6" spans="2:5" x14ac:dyDescent="0.3">
      <c r="B6" s="6">
        <f t="shared" si="0"/>
        <v>9009</v>
      </c>
      <c r="C6" s="6" t="s">
        <v>73</v>
      </c>
      <c r="D6" s="6">
        <v>89</v>
      </c>
      <c r="E6" s="6">
        <v>45</v>
      </c>
    </row>
    <row r="7" spans="2:5" x14ac:dyDescent="0.3">
      <c r="B7" s="6">
        <f t="shared" si="0"/>
        <v>9011</v>
      </c>
      <c r="C7" s="6" t="s">
        <v>74</v>
      </c>
      <c r="D7" s="6">
        <v>35</v>
      </c>
      <c r="E7" s="6">
        <v>13</v>
      </c>
    </row>
    <row r="8" spans="2:5" x14ac:dyDescent="0.3">
      <c r="B8" s="6">
        <f t="shared" si="0"/>
        <v>9013</v>
      </c>
      <c r="C8" s="6" t="s">
        <v>75</v>
      </c>
      <c r="D8" s="6">
        <v>209</v>
      </c>
      <c r="E8" s="6">
        <v>10</v>
      </c>
    </row>
    <row r="9" spans="2:5" x14ac:dyDescent="0.3">
      <c r="B9" s="6">
        <f t="shared" si="0"/>
        <v>9015</v>
      </c>
      <c r="C9" s="6" t="s">
        <v>76</v>
      </c>
      <c r="D9" s="6">
        <v>88</v>
      </c>
      <c r="E9" s="6">
        <v>36</v>
      </c>
    </row>
    <row r="10" spans="2:5" x14ac:dyDescent="0.3">
      <c r="B10" s="6">
        <f t="shared" si="0"/>
        <v>9017</v>
      </c>
      <c r="C10" s="6" t="s">
        <v>77</v>
      </c>
      <c r="D10" s="6">
        <v>123</v>
      </c>
      <c r="E10" s="6">
        <v>46</v>
      </c>
    </row>
    <row r="11" spans="2:5" x14ac:dyDescent="0.3">
      <c r="B11" s="6">
        <f t="shared" si="0"/>
        <v>9019</v>
      </c>
      <c r="C11" s="6" t="s">
        <v>78</v>
      </c>
      <c r="D11" s="6">
        <v>13</v>
      </c>
      <c r="E11" s="6">
        <v>45</v>
      </c>
    </row>
    <row r="12" spans="2:5" x14ac:dyDescent="0.3">
      <c r="B12" s="6">
        <f t="shared" si="0"/>
        <v>9021</v>
      </c>
      <c r="C12" s="6" t="s">
        <v>79</v>
      </c>
      <c r="D12" s="6">
        <v>321</v>
      </c>
      <c r="E12" s="6">
        <v>546</v>
      </c>
    </row>
    <row r="13" spans="2:5" x14ac:dyDescent="0.3">
      <c r="B13" s="6">
        <f t="shared" si="0"/>
        <v>9023</v>
      </c>
      <c r="C13" s="6" t="s">
        <v>80</v>
      </c>
      <c r="D13" s="6">
        <v>242</v>
      </c>
      <c r="E13" s="6">
        <v>665</v>
      </c>
    </row>
    <row r="14" spans="2:5" x14ac:dyDescent="0.3">
      <c r="B14" s="6">
        <f t="shared" si="0"/>
        <v>9025</v>
      </c>
      <c r="C14" s="6" t="s">
        <v>81</v>
      </c>
      <c r="D14" s="6">
        <v>23</v>
      </c>
      <c r="E14" s="6">
        <v>45</v>
      </c>
    </row>
    <row r="15" spans="2:5" x14ac:dyDescent="0.3">
      <c r="B15" s="6">
        <f t="shared" si="0"/>
        <v>9027</v>
      </c>
      <c r="C15" s="6" t="s">
        <v>82</v>
      </c>
      <c r="D15" s="6">
        <v>12</v>
      </c>
      <c r="E15" s="6">
        <v>457</v>
      </c>
    </row>
    <row r="16" spans="2:5" x14ac:dyDescent="0.3">
      <c r="B16" s="6">
        <f t="shared" si="0"/>
        <v>9029</v>
      </c>
      <c r="C16" s="6" t="s">
        <v>83</v>
      </c>
      <c r="D16" s="6">
        <v>4432</v>
      </c>
      <c r="E16" s="6">
        <v>6554</v>
      </c>
    </row>
    <row r="17" spans="2:5" x14ac:dyDescent="0.3">
      <c r="B17" s="6">
        <f t="shared" si="0"/>
        <v>9031</v>
      </c>
      <c r="C17" s="6" t="s">
        <v>84</v>
      </c>
      <c r="D17" s="6">
        <v>424</v>
      </c>
      <c r="E17" s="6">
        <v>56</v>
      </c>
    </row>
    <row r="18" spans="2:5" x14ac:dyDescent="0.3">
      <c r="B18" s="6">
        <f t="shared" si="0"/>
        <v>9033</v>
      </c>
      <c r="C18" s="6" t="s">
        <v>85</v>
      </c>
      <c r="D18" s="6">
        <v>234</v>
      </c>
      <c r="E18" s="6">
        <v>56</v>
      </c>
    </row>
    <row r="19" spans="2:5" x14ac:dyDescent="0.3">
      <c r="B19" s="6">
        <f t="shared" si="0"/>
        <v>9035</v>
      </c>
      <c r="C19" s="6" t="s">
        <v>86</v>
      </c>
      <c r="D19" s="6">
        <v>342</v>
      </c>
      <c r="E19" s="6">
        <v>90</v>
      </c>
    </row>
    <row r="20" spans="2:5" x14ac:dyDescent="0.3">
      <c r="B20" s="6">
        <f t="shared" si="0"/>
        <v>9037</v>
      </c>
      <c r="C20" s="6" t="s">
        <v>87</v>
      </c>
      <c r="D20" s="6">
        <v>234</v>
      </c>
      <c r="E20" s="6">
        <v>54</v>
      </c>
    </row>
    <row r="21" spans="2:5" x14ac:dyDescent="0.3">
      <c r="B21" s="6">
        <f t="shared" si="0"/>
        <v>9039</v>
      </c>
      <c r="C21" s="6" t="s">
        <v>88</v>
      </c>
      <c r="D21" s="6">
        <v>423</v>
      </c>
      <c r="E21" s="6">
        <v>45</v>
      </c>
    </row>
    <row r="22" spans="2:5" x14ac:dyDescent="0.3">
      <c r="B22" s="6">
        <f t="shared" si="0"/>
        <v>9041</v>
      </c>
      <c r="C22" s="6" t="s">
        <v>69</v>
      </c>
      <c r="D22" s="6">
        <v>243</v>
      </c>
      <c r="E22" s="6">
        <v>67</v>
      </c>
    </row>
    <row r="23" spans="2:5" x14ac:dyDescent="0.3">
      <c r="B23" s="6">
        <f t="shared" si="0"/>
        <v>9043</v>
      </c>
      <c r="C23" s="6" t="s">
        <v>89</v>
      </c>
      <c r="D23" s="6">
        <v>243</v>
      </c>
      <c r="E23" s="6">
        <v>45</v>
      </c>
    </row>
    <row r="24" spans="2:5" x14ac:dyDescent="0.3">
      <c r="B24" s="6">
        <f t="shared" si="0"/>
        <v>9045</v>
      </c>
      <c r="C24" s="6" t="s">
        <v>90</v>
      </c>
      <c r="D24" s="6">
        <v>455</v>
      </c>
      <c r="E24" s="6">
        <v>75</v>
      </c>
    </row>
    <row r="25" spans="2:5" x14ac:dyDescent="0.3">
      <c r="B25" s="6">
        <f t="shared" si="0"/>
        <v>9047</v>
      </c>
      <c r="C25" s="6" t="s">
        <v>91</v>
      </c>
      <c r="D25" s="6">
        <v>424</v>
      </c>
      <c r="E25" s="6">
        <v>54</v>
      </c>
    </row>
    <row r="26" spans="2:5" x14ac:dyDescent="0.3">
      <c r="B26" s="6">
        <f t="shared" si="0"/>
        <v>9049</v>
      </c>
      <c r="C26" s="6" t="s">
        <v>92</v>
      </c>
      <c r="D26" s="6">
        <v>355</v>
      </c>
      <c r="E26" s="6">
        <v>22</v>
      </c>
    </row>
    <row r="27" spans="2:5" x14ac:dyDescent="0.3">
      <c r="B27" s="6">
        <f t="shared" si="0"/>
        <v>9051</v>
      </c>
      <c r="C27" s="6" t="s">
        <v>93</v>
      </c>
      <c r="D27" s="6">
        <v>89</v>
      </c>
      <c r="E27" s="6">
        <v>43</v>
      </c>
    </row>
    <row r="28" spans="2:5" x14ac:dyDescent="0.3">
      <c r="B28" s="6">
        <f t="shared" si="0"/>
        <v>9053</v>
      </c>
      <c r="C28" s="6" t="s">
        <v>94</v>
      </c>
      <c r="D28" s="6">
        <v>89</v>
      </c>
      <c r="E28" s="6">
        <v>12</v>
      </c>
    </row>
    <row r="29" spans="2:5" x14ac:dyDescent="0.3">
      <c r="B29" s="6">
        <f t="shared" si="0"/>
        <v>9055</v>
      </c>
      <c r="C29" s="6" t="s">
        <v>95</v>
      </c>
      <c r="D29" s="6">
        <v>65</v>
      </c>
      <c r="E29" s="6">
        <v>69</v>
      </c>
    </row>
    <row r="30" spans="2:5" x14ac:dyDescent="0.3">
      <c r="B30" s="6">
        <f t="shared" si="0"/>
        <v>9057</v>
      </c>
      <c r="C30" s="6" t="s">
        <v>96</v>
      </c>
      <c r="D30" s="6">
        <v>56</v>
      </c>
      <c r="E30" s="6">
        <v>23</v>
      </c>
    </row>
    <row r="31" spans="2:5" x14ac:dyDescent="0.3">
      <c r="B31" s="4"/>
      <c r="E31" s="1"/>
    </row>
    <row r="32" spans="2:5" x14ac:dyDescent="0.3">
      <c r="B32" s="4"/>
    </row>
    <row r="33" spans="2:2" x14ac:dyDescent="0.3">
      <c r="B33" s="4"/>
    </row>
    <row r="34" spans="2:2" x14ac:dyDescent="0.3">
      <c r="B34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A1752-5C07-42AC-89D3-1831523FCCF6}">
  <dimension ref="B1:C7"/>
  <sheetViews>
    <sheetView workbookViewId="0">
      <selection activeCell="B1" sqref="B1:C7"/>
    </sheetView>
  </sheetViews>
  <sheetFormatPr defaultRowHeight="14.4" x14ac:dyDescent="0.3"/>
  <cols>
    <col min="1" max="1" width="9" customWidth="1"/>
    <col min="2" max="3" width="15.5546875" style="1" customWidth="1"/>
  </cols>
  <sheetData>
    <row r="1" spans="2:3" ht="18" x14ac:dyDescent="0.35">
      <c r="B1" s="7" t="s">
        <v>47</v>
      </c>
      <c r="C1" s="7" t="s">
        <v>48</v>
      </c>
    </row>
    <row r="2" spans="2:3" x14ac:dyDescent="0.3">
      <c r="B2" s="6">
        <v>5001</v>
      </c>
      <c r="C2" s="6" t="s">
        <v>49</v>
      </c>
    </row>
    <row r="3" spans="2:3" x14ac:dyDescent="0.3">
      <c r="B3" s="6">
        <v>5002</v>
      </c>
      <c r="C3" s="6" t="s">
        <v>50</v>
      </c>
    </row>
    <row r="4" spans="2:3" x14ac:dyDescent="0.3">
      <c r="B4" s="6">
        <v>5003</v>
      </c>
      <c r="C4" s="6" t="s">
        <v>51</v>
      </c>
    </row>
    <row r="5" spans="2:3" x14ac:dyDescent="0.3">
      <c r="B5" s="6">
        <v>5004</v>
      </c>
      <c r="C5" s="6" t="s">
        <v>52</v>
      </c>
    </row>
    <row r="6" spans="2:3" x14ac:dyDescent="0.3">
      <c r="B6" s="6">
        <v>5005</v>
      </c>
      <c r="C6" s="6" t="s">
        <v>53</v>
      </c>
    </row>
    <row r="7" spans="2:3" x14ac:dyDescent="0.3">
      <c r="B7" s="6">
        <v>5006</v>
      </c>
      <c r="C7" s="6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FAB6-EAC3-4EF5-B583-17EF5767BAB4}">
  <dimension ref="B1:C16"/>
  <sheetViews>
    <sheetView workbookViewId="0">
      <selection activeCell="B2" sqref="B2:C16"/>
    </sheetView>
  </sheetViews>
  <sheetFormatPr defaultRowHeight="14.4" x14ac:dyDescent="0.3"/>
  <cols>
    <col min="2" max="3" width="21.6640625" style="1" customWidth="1"/>
    <col min="4" max="4" width="8.88671875" customWidth="1"/>
  </cols>
  <sheetData>
    <row r="1" spans="2:3" ht="15.6" x14ac:dyDescent="0.3">
      <c r="B1" s="5" t="s">
        <v>40</v>
      </c>
      <c r="C1" s="5" t="s">
        <v>41</v>
      </c>
    </row>
    <row r="2" spans="2:3" x14ac:dyDescent="0.3">
      <c r="B2" s="6">
        <v>1001</v>
      </c>
      <c r="C2" s="6" t="s">
        <v>42</v>
      </c>
    </row>
    <row r="3" spans="2:3" x14ac:dyDescent="0.3">
      <c r="B3" s="6">
        <v>1002</v>
      </c>
      <c r="C3" s="6" t="s">
        <v>43</v>
      </c>
    </row>
    <row r="4" spans="2:3" x14ac:dyDescent="0.3">
      <c r="B4" s="6">
        <v>1003</v>
      </c>
      <c r="C4" s="6" t="s">
        <v>44</v>
      </c>
    </row>
    <row r="5" spans="2:3" x14ac:dyDescent="0.3">
      <c r="B5" s="6">
        <v>1004</v>
      </c>
      <c r="C5" s="6" t="s">
        <v>45</v>
      </c>
    </row>
    <row r="6" spans="2:3" x14ac:dyDescent="0.3">
      <c r="B6" s="6">
        <v>1005</v>
      </c>
      <c r="C6" s="6" t="s">
        <v>46</v>
      </c>
    </row>
    <row r="7" spans="2:3" x14ac:dyDescent="0.3">
      <c r="B7" s="6">
        <v>1006</v>
      </c>
      <c r="C7" s="6" t="s">
        <v>55</v>
      </c>
    </row>
    <row r="8" spans="2:3" x14ac:dyDescent="0.3">
      <c r="B8" s="6">
        <v>1007</v>
      </c>
      <c r="C8" s="6" t="s">
        <v>56</v>
      </c>
    </row>
    <row r="9" spans="2:3" x14ac:dyDescent="0.3">
      <c r="B9" s="6">
        <v>1008</v>
      </c>
      <c r="C9" s="6" t="s">
        <v>57</v>
      </c>
    </row>
    <row r="10" spans="2:3" x14ac:dyDescent="0.3">
      <c r="B10" s="6">
        <v>1009</v>
      </c>
      <c r="C10" s="6" t="s">
        <v>58</v>
      </c>
    </row>
    <row r="11" spans="2:3" x14ac:dyDescent="0.3">
      <c r="B11" s="6">
        <v>1010</v>
      </c>
      <c r="C11" s="6" t="s">
        <v>59</v>
      </c>
    </row>
    <row r="12" spans="2:3" x14ac:dyDescent="0.3">
      <c r="B12" s="6">
        <v>1011</v>
      </c>
      <c r="C12" s="6" t="s">
        <v>60</v>
      </c>
    </row>
    <row r="13" spans="2:3" x14ac:dyDescent="0.3">
      <c r="B13" s="6">
        <v>1012</v>
      </c>
      <c r="C13" s="6" t="s">
        <v>61</v>
      </c>
    </row>
    <row r="14" spans="2:3" x14ac:dyDescent="0.3">
      <c r="B14" s="6">
        <v>1013</v>
      </c>
      <c r="C14" s="6" t="s">
        <v>62</v>
      </c>
    </row>
    <row r="15" spans="2:3" x14ac:dyDescent="0.3">
      <c r="B15" s="6">
        <v>1014</v>
      </c>
      <c r="C15" s="6" t="s">
        <v>63</v>
      </c>
    </row>
    <row r="16" spans="2:3" x14ac:dyDescent="0.3">
      <c r="B16" s="6">
        <v>1015</v>
      </c>
      <c r="C16" s="6" t="s">
        <v>64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8A03-7E95-4C42-AA11-CDC04DCC497B}">
  <dimension ref="B1:T30"/>
  <sheetViews>
    <sheetView topLeftCell="M1" workbookViewId="0">
      <selection activeCell="C4" sqref="C4"/>
    </sheetView>
  </sheetViews>
  <sheetFormatPr defaultRowHeight="14.4" x14ac:dyDescent="0.3"/>
  <cols>
    <col min="2" max="2" width="27.21875" customWidth="1"/>
    <col min="3" max="3" width="27.21875" style="13" customWidth="1"/>
    <col min="4" max="4" width="27.21875" style="16" customWidth="1"/>
    <col min="5" max="5" width="27.21875" style="19" customWidth="1"/>
    <col min="6" max="10" width="27.21875" customWidth="1"/>
    <col min="11" max="14" width="27.21875" style="1" customWidth="1"/>
    <col min="15" max="16" width="17.5546875" style="1" customWidth="1"/>
    <col min="17" max="17" width="17.77734375" style="1" customWidth="1"/>
    <col min="18" max="20" width="27.21875" customWidth="1"/>
  </cols>
  <sheetData>
    <row r="1" spans="2:20" ht="18" x14ac:dyDescent="0.35">
      <c r="B1" s="2" t="s">
        <v>0</v>
      </c>
      <c r="C1" s="12" t="s">
        <v>1</v>
      </c>
      <c r="D1" s="14" t="s">
        <v>125</v>
      </c>
      <c r="E1" s="17" t="s">
        <v>126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97</v>
      </c>
      <c r="P1" s="2" t="s">
        <v>98</v>
      </c>
      <c r="Q1" s="2" t="s">
        <v>99</v>
      </c>
      <c r="R1" s="2" t="s">
        <v>108</v>
      </c>
      <c r="S1" s="2" t="s">
        <v>107</v>
      </c>
      <c r="T1" s="2" t="s">
        <v>109</v>
      </c>
    </row>
    <row r="2" spans="2:20" x14ac:dyDescent="0.3">
      <c r="B2" s="1" t="s">
        <v>11</v>
      </c>
      <c r="C2" s="3">
        <v>45658</v>
      </c>
      <c r="D2" s="15" t="str">
        <f>TEXT(Tabela_Vendas[[#This Row],[Data da Venda]],"mmmm")</f>
        <v>janeiro</v>
      </c>
      <c r="E2" s="18">
        <f>YEAR(Tabela_Vendas[[#This Row],[Data da Venda]])</f>
        <v>2025</v>
      </c>
      <c r="F2" s="1">
        <v>1001</v>
      </c>
      <c r="G2" s="1" t="str">
        <f t="shared" ref="G2:G30" si="0">VLOOKUP(F2,repre,2,0)</f>
        <v>Amelia</v>
      </c>
      <c r="H2" s="1">
        <v>9001</v>
      </c>
      <c r="I2" s="1" t="str">
        <f t="shared" ref="I2:I30" si="1">VLOOKUP(H2,produ,2,0)</f>
        <v>Tênis de corrida</v>
      </c>
      <c r="J2" s="1">
        <f t="shared" ref="J2:J30" si="2">VLOOKUP(H2,produ,4,0)</f>
        <v>344</v>
      </c>
      <c r="K2" s="1">
        <f t="shared" ref="K2:K30" si="3">VLOOKUP(H2,produ,3,0)</f>
        <v>799</v>
      </c>
      <c r="L2" s="1">
        <v>12</v>
      </c>
      <c r="M2" s="1">
        <f>J2*L2</f>
        <v>4128</v>
      </c>
      <c r="N2" s="1">
        <f>L2*K2</f>
        <v>9588</v>
      </c>
      <c r="O2" s="1">
        <f>N2-M2</f>
        <v>5460</v>
      </c>
      <c r="P2" s="1">
        <v>5001</v>
      </c>
      <c r="Q2" s="1" t="str">
        <f t="shared" ref="Q2:Q30" si="4">VLOOKUP(P2,cliente,2,0)</f>
        <v>Judas</v>
      </c>
      <c r="R2" s="1" t="s">
        <v>100</v>
      </c>
      <c r="S2" s="1" t="s">
        <v>110</v>
      </c>
      <c r="T2" s="1" t="s">
        <v>119</v>
      </c>
    </row>
    <row r="3" spans="2:20" x14ac:dyDescent="0.3">
      <c r="B3" s="1" t="s">
        <v>12</v>
      </c>
      <c r="C3" s="3" t="e">
        <f>DATE(2026,1,Dinamica!F3+Dinamica!F7)</f>
        <v>#VALUE!</v>
      </c>
      <c r="D3" s="15" t="e">
        <f>TEXT(Tabela_Vendas[[#This Row],[Data da Venda]],"mmmm")</f>
        <v>#VALUE!</v>
      </c>
      <c r="E3" s="18" t="e">
        <f>YEAR(Tabela_Vendas[[#This Row],[Data da Venda]])</f>
        <v>#VALUE!</v>
      </c>
      <c r="F3" s="1">
        <f>F2+1</f>
        <v>1002</v>
      </c>
      <c r="G3" s="1" t="str">
        <f t="shared" si="0"/>
        <v>Bruno</v>
      </c>
      <c r="H3" s="1">
        <f>H2+2</f>
        <v>9003</v>
      </c>
      <c r="I3" s="1" t="str">
        <f t="shared" si="1"/>
        <v>Calça Legging</v>
      </c>
      <c r="J3" s="1">
        <f t="shared" si="2"/>
        <v>70</v>
      </c>
      <c r="K3" s="1">
        <f t="shared" si="3"/>
        <v>140</v>
      </c>
      <c r="L3" s="1">
        <v>19</v>
      </c>
      <c r="M3" s="1">
        <f t="shared" ref="M3:M30" si="5">J3*L3</f>
        <v>1330</v>
      </c>
      <c r="N3" s="1">
        <f t="shared" ref="N3:N30" si="6">L3*K3</f>
        <v>2660</v>
      </c>
      <c r="O3" s="1">
        <f t="shared" ref="O3:O30" si="7">N3-M3</f>
        <v>1330</v>
      </c>
      <c r="P3" s="1">
        <v>5002</v>
      </c>
      <c r="Q3" s="1" t="str">
        <f t="shared" si="4"/>
        <v>Sam</v>
      </c>
      <c r="R3" s="1" t="s">
        <v>111</v>
      </c>
      <c r="S3" s="1" t="s">
        <v>111</v>
      </c>
      <c r="T3" s="1" t="s">
        <v>106</v>
      </c>
    </row>
    <row r="4" spans="2:20" x14ac:dyDescent="0.3">
      <c r="B4" s="1" t="s">
        <v>13</v>
      </c>
      <c r="C4" s="3">
        <f>C2+1</f>
        <v>45659</v>
      </c>
      <c r="D4" s="15" t="str">
        <f>TEXT(Tabela_Vendas[[#This Row],[Data da Venda]],"mmmm")</f>
        <v>janeiro</v>
      </c>
      <c r="E4" s="18">
        <f>YEAR(Tabela_Vendas[[#This Row],[Data da Venda]])</f>
        <v>2025</v>
      </c>
      <c r="F4" s="1">
        <f>F2+1</f>
        <v>1002</v>
      </c>
      <c r="G4" s="1" t="str">
        <f t="shared" si="0"/>
        <v>Bruno</v>
      </c>
      <c r="H4" s="1">
        <f>H3+2</f>
        <v>9005</v>
      </c>
      <c r="I4" s="1" t="str">
        <f t="shared" si="1"/>
        <v xml:space="preserve">Bermuda </v>
      </c>
      <c r="J4" s="1">
        <f t="shared" si="2"/>
        <v>25</v>
      </c>
      <c r="K4" s="1">
        <f t="shared" si="3"/>
        <v>133</v>
      </c>
      <c r="L4" s="1">
        <v>14</v>
      </c>
      <c r="M4" s="1">
        <f t="shared" si="5"/>
        <v>350</v>
      </c>
      <c r="N4" s="1">
        <f t="shared" si="6"/>
        <v>1862</v>
      </c>
      <c r="O4" s="1">
        <f t="shared" si="7"/>
        <v>1512</v>
      </c>
      <c r="P4" s="1">
        <v>5003</v>
      </c>
      <c r="Q4" s="1" t="str">
        <f t="shared" si="4"/>
        <v>Dean</v>
      </c>
      <c r="R4" s="1" t="s">
        <v>112</v>
      </c>
      <c r="S4" s="1" t="s">
        <v>113</v>
      </c>
      <c r="T4" s="1" t="s">
        <v>104</v>
      </c>
    </row>
    <row r="5" spans="2:20" x14ac:dyDescent="0.3">
      <c r="B5" s="1" t="s">
        <v>14</v>
      </c>
      <c r="C5" s="3">
        <f>C4</f>
        <v>45659</v>
      </c>
      <c r="D5" s="15" t="str">
        <f>TEXT(Tabela_Vendas[[#This Row],[Data da Venda]],"mmmm")</f>
        <v>janeiro</v>
      </c>
      <c r="E5" s="18">
        <f>YEAR(Tabela_Vendas[[#This Row],[Data da Venda]])</f>
        <v>2025</v>
      </c>
      <c r="F5" s="1">
        <f t="shared" ref="F5" si="8">F4+1</f>
        <v>1003</v>
      </c>
      <c r="G5" s="1" t="str">
        <f t="shared" si="0"/>
        <v>Jão</v>
      </c>
      <c r="H5" s="1">
        <f>H4+2</f>
        <v>9007</v>
      </c>
      <c r="I5" s="1" t="str">
        <f t="shared" si="1"/>
        <v>Mochila</v>
      </c>
      <c r="J5" s="1">
        <f t="shared" si="2"/>
        <v>88</v>
      </c>
      <c r="K5" s="1">
        <f t="shared" si="3"/>
        <v>231</v>
      </c>
      <c r="L5" s="1">
        <v>21</v>
      </c>
      <c r="M5" s="1">
        <f t="shared" si="5"/>
        <v>1848</v>
      </c>
      <c r="N5" s="1">
        <f t="shared" si="6"/>
        <v>4851</v>
      </c>
      <c r="O5" s="1">
        <f t="shared" si="7"/>
        <v>3003</v>
      </c>
      <c r="P5" s="1">
        <v>5004</v>
      </c>
      <c r="Q5" s="1" t="str">
        <f t="shared" si="4"/>
        <v>Pritt</v>
      </c>
      <c r="R5" s="1" t="s">
        <v>100</v>
      </c>
      <c r="S5" s="1" t="s">
        <v>110</v>
      </c>
      <c r="T5" s="1" t="s">
        <v>105</v>
      </c>
    </row>
    <row r="6" spans="2:20" x14ac:dyDescent="0.3">
      <c r="B6" s="1" t="s">
        <v>15</v>
      </c>
      <c r="C6" s="3">
        <f t="shared" ref="C6:F6" si="9">C4+1</f>
        <v>45660</v>
      </c>
      <c r="D6" s="15" t="str">
        <f>TEXT(Tabela_Vendas[[#This Row],[Data da Venda]],"mmmm")</f>
        <v>janeiro</v>
      </c>
      <c r="E6" s="18">
        <f>YEAR(Tabela_Vendas[[#This Row],[Data da Venda]])</f>
        <v>2025</v>
      </c>
      <c r="F6" s="1">
        <f t="shared" si="9"/>
        <v>1003</v>
      </c>
      <c r="G6" s="1" t="str">
        <f t="shared" si="0"/>
        <v>Jão</v>
      </c>
      <c r="H6" s="1">
        <f t="shared" ref="H6:H30" si="10">H5+2</f>
        <v>9009</v>
      </c>
      <c r="I6" s="1" t="str">
        <f t="shared" si="1"/>
        <v>Jaqueta</v>
      </c>
      <c r="J6" s="1">
        <f t="shared" si="2"/>
        <v>45</v>
      </c>
      <c r="K6" s="1">
        <f t="shared" si="3"/>
        <v>89</v>
      </c>
      <c r="L6" s="1">
        <v>27</v>
      </c>
      <c r="M6" s="1">
        <f t="shared" si="5"/>
        <v>1215</v>
      </c>
      <c r="N6" s="1">
        <f t="shared" si="6"/>
        <v>2403</v>
      </c>
      <c r="O6" s="1">
        <f t="shared" si="7"/>
        <v>1188</v>
      </c>
      <c r="P6" s="1">
        <v>5006</v>
      </c>
      <c r="Q6" s="1" t="str">
        <f t="shared" si="4"/>
        <v>Manu</v>
      </c>
      <c r="R6" s="1" t="s">
        <v>114</v>
      </c>
      <c r="S6" s="1" t="s">
        <v>115</v>
      </c>
      <c r="T6" s="1" t="s">
        <v>120</v>
      </c>
    </row>
    <row r="7" spans="2:20" x14ac:dyDescent="0.3">
      <c r="B7" s="1" t="s">
        <v>16</v>
      </c>
      <c r="C7" s="3">
        <f t="shared" ref="C7" si="11">C6</f>
        <v>45660</v>
      </c>
      <c r="D7" s="15" t="str">
        <f>TEXT(Tabela_Vendas[[#This Row],[Data da Venda]],"mmmm")</f>
        <v>janeiro</v>
      </c>
      <c r="E7" s="18">
        <f>YEAR(Tabela_Vendas[[#This Row],[Data da Venda]])</f>
        <v>2025</v>
      </c>
      <c r="F7" s="1">
        <f t="shared" ref="F7" si="12">F6+1</f>
        <v>1004</v>
      </c>
      <c r="G7" s="1" t="str">
        <f t="shared" si="0"/>
        <v>Fernanda</v>
      </c>
      <c r="H7" s="1">
        <f t="shared" si="10"/>
        <v>9011</v>
      </c>
      <c r="I7" s="1" t="str">
        <f t="shared" si="1"/>
        <v>Short</v>
      </c>
      <c r="J7" s="1">
        <f t="shared" si="2"/>
        <v>13</v>
      </c>
      <c r="K7" s="1">
        <f t="shared" si="3"/>
        <v>35</v>
      </c>
      <c r="L7" s="1">
        <v>28</v>
      </c>
      <c r="M7" s="1">
        <f t="shared" si="5"/>
        <v>364</v>
      </c>
      <c r="N7" s="1">
        <f t="shared" si="6"/>
        <v>980</v>
      </c>
      <c r="O7" s="1">
        <f t="shared" si="7"/>
        <v>616</v>
      </c>
      <c r="P7" s="1">
        <v>5005</v>
      </c>
      <c r="Q7" s="1" t="str">
        <f t="shared" si="4"/>
        <v>Adobe</v>
      </c>
      <c r="R7" s="1" t="s">
        <v>101</v>
      </c>
      <c r="S7" s="1" t="s">
        <v>116</v>
      </c>
      <c r="T7" s="1" t="s">
        <v>119</v>
      </c>
    </row>
    <row r="8" spans="2:20" x14ac:dyDescent="0.3">
      <c r="B8" s="1" t="s">
        <v>17</v>
      </c>
      <c r="C8" s="3">
        <f t="shared" ref="C8:F8" si="13">C6+1</f>
        <v>45661</v>
      </c>
      <c r="D8" s="15" t="str">
        <f>TEXT(Tabela_Vendas[[#This Row],[Data da Venda]],"mmmm")</f>
        <v>janeiro</v>
      </c>
      <c r="E8" s="18">
        <f>YEAR(Tabela_Vendas[[#This Row],[Data da Venda]])</f>
        <v>2025</v>
      </c>
      <c r="F8" s="1">
        <f t="shared" si="13"/>
        <v>1004</v>
      </c>
      <c r="G8" s="1" t="str">
        <f t="shared" si="0"/>
        <v>Fernanda</v>
      </c>
      <c r="H8" s="1">
        <f t="shared" si="10"/>
        <v>9013</v>
      </c>
      <c r="I8" s="1" t="str">
        <f t="shared" si="1"/>
        <v>Chinelo</v>
      </c>
      <c r="J8" s="1">
        <f t="shared" si="2"/>
        <v>10</v>
      </c>
      <c r="K8" s="1">
        <f t="shared" si="3"/>
        <v>209</v>
      </c>
      <c r="L8" s="1">
        <v>31</v>
      </c>
      <c r="M8" s="1">
        <f t="shared" si="5"/>
        <v>310</v>
      </c>
      <c r="N8" s="1">
        <f t="shared" si="6"/>
        <v>6479</v>
      </c>
      <c r="O8" s="1">
        <f t="shared" si="7"/>
        <v>6169</v>
      </c>
      <c r="P8" s="1">
        <v>5001</v>
      </c>
      <c r="Q8" s="1" t="str">
        <f t="shared" si="4"/>
        <v>Judas</v>
      </c>
      <c r="R8" s="1" t="s">
        <v>102</v>
      </c>
      <c r="S8" s="1" t="s">
        <v>117</v>
      </c>
      <c r="T8" s="1" t="s">
        <v>106</v>
      </c>
    </row>
    <row r="9" spans="2:20" x14ac:dyDescent="0.3">
      <c r="B9" s="1" t="s">
        <v>18</v>
      </c>
      <c r="C9" s="3">
        <f t="shared" ref="C9" si="14">C8</f>
        <v>45661</v>
      </c>
      <c r="D9" s="15" t="str">
        <f>TEXT(Tabela_Vendas[[#This Row],[Data da Venda]],"mmmm")</f>
        <v>janeiro</v>
      </c>
      <c r="E9" s="18">
        <f>YEAR(Tabela_Vendas[[#This Row],[Data da Venda]])</f>
        <v>2025</v>
      </c>
      <c r="F9" s="1">
        <f t="shared" ref="F9" si="15">F8+1</f>
        <v>1005</v>
      </c>
      <c r="G9" s="1" t="str">
        <f t="shared" si="0"/>
        <v>Camila</v>
      </c>
      <c r="H9" s="1">
        <f t="shared" si="10"/>
        <v>9015</v>
      </c>
      <c r="I9" s="1" t="str">
        <f t="shared" si="1"/>
        <v>Bolsa</v>
      </c>
      <c r="J9" s="1">
        <f t="shared" si="2"/>
        <v>36</v>
      </c>
      <c r="K9" s="1">
        <f t="shared" si="3"/>
        <v>88</v>
      </c>
      <c r="L9" s="1">
        <v>34</v>
      </c>
      <c r="M9" s="1">
        <f t="shared" si="5"/>
        <v>1224</v>
      </c>
      <c r="N9" s="1">
        <f t="shared" si="6"/>
        <v>2992</v>
      </c>
      <c r="O9" s="1">
        <f t="shared" si="7"/>
        <v>1768</v>
      </c>
      <c r="P9" s="1">
        <v>5002</v>
      </c>
      <c r="Q9" s="1" t="str">
        <f t="shared" si="4"/>
        <v>Sam</v>
      </c>
      <c r="R9" s="1" t="s">
        <v>103</v>
      </c>
      <c r="S9" s="1" t="s">
        <v>118</v>
      </c>
      <c r="T9" s="1" t="s">
        <v>104</v>
      </c>
    </row>
    <row r="10" spans="2:20" x14ac:dyDescent="0.3">
      <c r="B10" s="1" t="s">
        <v>19</v>
      </c>
      <c r="C10" s="3">
        <f t="shared" ref="C10:F10" si="16">C8+1</f>
        <v>45662</v>
      </c>
      <c r="D10" s="15" t="str">
        <f>TEXT(Tabela_Vendas[[#This Row],[Data da Venda]],"mmmm")</f>
        <v>janeiro</v>
      </c>
      <c r="E10" s="18">
        <f>YEAR(Tabela_Vendas[[#This Row],[Data da Venda]])</f>
        <v>2025</v>
      </c>
      <c r="F10" s="1">
        <f t="shared" si="16"/>
        <v>1005</v>
      </c>
      <c r="G10" s="1" t="str">
        <f t="shared" si="0"/>
        <v>Camila</v>
      </c>
      <c r="H10" s="1">
        <f t="shared" si="10"/>
        <v>9017</v>
      </c>
      <c r="I10" s="1" t="str">
        <f t="shared" si="1"/>
        <v>aranha</v>
      </c>
      <c r="J10" s="1">
        <f t="shared" si="2"/>
        <v>46</v>
      </c>
      <c r="K10" s="1">
        <f t="shared" si="3"/>
        <v>123</v>
      </c>
      <c r="L10" s="1">
        <v>34</v>
      </c>
      <c r="M10" s="1">
        <f t="shared" si="5"/>
        <v>1564</v>
      </c>
      <c r="N10" s="1">
        <f t="shared" si="6"/>
        <v>4182</v>
      </c>
      <c r="O10" s="1">
        <f t="shared" si="7"/>
        <v>2618</v>
      </c>
      <c r="P10" s="1">
        <v>5003</v>
      </c>
      <c r="Q10" s="1" t="str">
        <f t="shared" si="4"/>
        <v>Dean</v>
      </c>
      <c r="R10" s="1" t="s">
        <v>100</v>
      </c>
      <c r="S10" s="1" t="s">
        <v>110</v>
      </c>
      <c r="T10" s="1" t="s">
        <v>105</v>
      </c>
    </row>
    <row r="11" spans="2:20" x14ac:dyDescent="0.3">
      <c r="B11" s="1" t="s">
        <v>20</v>
      </c>
      <c r="C11" s="3">
        <f t="shared" ref="C11" si="17">C10</f>
        <v>45662</v>
      </c>
      <c r="D11" s="15" t="str">
        <f>TEXT(Tabela_Vendas[[#This Row],[Data da Venda]],"mmmm")</f>
        <v>janeiro</v>
      </c>
      <c r="E11" s="18">
        <f>YEAR(Tabela_Vendas[[#This Row],[Data da Venda]])</f>
        <v>2025</v>
      </c>
      <c r="F11" s="1">
        <f t="shared" ref="F11" si="18">F10+1</f>
        <v>1006</v>
      </c>
      <c r="G11" s="1" t="str">
        <f t="shared" si="0"/>
        <v>marcelo</v>
      </c>
      <c r="H11" s="1">
        <f t="shared" si="10"/>
        <v>9019</v>
      </c>
      <c r="I11" s="1" t="str">
        <f t="shared" si="1"/>
        <v>colar</v>
      </c>
      <c r="J11" s="1">
        <f t="shared" si="2"/>
        <v>45</v>
      </c>
      <c r="K11" s="1">
        <f t="shared" si="3"/>
        <v>13</v>
      </c>
      <c r="L11" s="1">
        <v>34</v>
      </c>
      <c r="M11" s="1">
        <f t="shared" si="5"/>
        <v>1530</v>
      </c>
      <c r="N11" s="1">
        <f t="shared" si="6"/>
        <v>442</v>
      </c>
      <c r="O11" s="1">
        <f t="shared" si="7"/>
        <v>-1088</v>
      </c>
      <c r="P11" s="1">
        <v>5004</v>
      </c>
      <c r="Q11" s="1" t="str">
        <f t="shared" si="4"/>
        <v>Pritt</v>
      </c>
      <c r="R11" s="1" t="s">
        <v>111</v>
      </c>
      <c r="S11" s="1" t="s">
        <v>111</v>
      </c>
      <c r="T11" s="1" t="s">
        <v>120</v>
      </c>
    </row>
    <row r="12" spans="2:20" x14ac:dyDescent="0.3">
      <c r="B12" s="1" t="s">
        <v>21</v>
      </c>
      <c r="C12" s="3">
        <f t="shared" ref="C12:F12" si="19">C10+1</f>
        <v>45663</v>
      </c>
      <c r="D12" s="15" t="str">
        <f>TEXT(Tabela_Vendas[[#This Row],[Data da Venda]],"mmmm")</f>
        <v>janeiro</v>
      </c>
      <c r="E12" s="18">
        <f>YEAR(Tabela_Vendas[[#This Row],[Data da Venda]])</f>
        <v>2025</v>
      </c>
      <c r="F12" s="1">
        <f t="shared" si="19"/>
        <v>1006</v>
      </c>
      <c r="G12" s="1" t="str">
        <f t="shared" si="0"/>
        <v>marcelo</v>
      </c>
      <c r="H12" s="1">
        <f t="shared" si="10"/>
        <v>9021</v>
      </c>
      <c r="I12" s="1" t="str">
        <f t="shared" si="1"/>
        <v>regata</v>
      </c>
      <c r="J12" s="1">
        <f t="shared" si="2"/>
        <v>546</v>
      </c>
      <c r="K12" s="1">
        <f t="shared" si="3"/>
        <v>321</v>
      </c>
      <c r="L12" s="1">
        <v>34</v>
      </c>
      <c r="M12" s="1">
        <f t="shared" si="5"/>
        <v>18564</v>
      </c>
      <c r="N12" s="1">
        <f t="shared" si="6"/>
        <v>10914</v>
      </c>
      <c r="O12" s="1">
        <f t="shared" si="7"/>
        <v>-7650</v>
      </c>
      <c r="P12" s="1">
        <v>5005</v>
      </c>
      <c r="Q12" s="1" t="str">
        <f t="shared" si="4"/>
        <v>Adobe</v>
      </c>
      <c r="R12" s="1" t="s">
        <v>112</v>
      </c>
      <c r="S12" s="1" t="s">
        <v>113</v>
      </c>
      <c r="T12" s="1" t="s">
        <v>119</v>
      </c>
    </row>
    <row r="13" spans="2:20" x14ac:dyDescent="0.3">
      <c r="B13" s="1" t="s">
        <v>22</v>
      </c>
      <c r="C13" s="3">
        <f t="shared" ref="C13" si="20">C12</f>
        <v>45663</v>
      </c>
      <c r="D13" s="15" t="str">
        <f>TEXT(Tabela_Vendas[[#This Row],[Data da Venda]],"mmmm")</f>
        <v>janeiro</v>
      </c>
      <c r="E13" s="18">
        <f>YEAR(Tabela_Vendas[[#This Row],[Data da Venda]])</f>
        <v>2025</v>
      </c>
      <c r="F13" s="1">
        <f t="shared" ref="F13" si="21">F12+1</f>
        <v>1007</v>
      </c>
      <c r="G13" s="1" t="str">
        <f t="shared" si="0"/>
        <v>marcela</v>
      </c>
      <c r="H13" s="1">
        <f t="shared" si="10"/>
        <v>9023</v>
      </c>
      <c r="I13" s="1" t="str">
        <f t="shared" si="1"/>
        <v>pircn</v>
      </c>
      <c r="J13" s="1">
        <f t="shared" si="2"/>
        <v>665</v>
      </c>
      <c r="K13" s="1">
        <f t="shared" si="3"/>
        <v>242</v>
      </c>
      <c r="L13" s="1">
        <v>234</v>
      </c>
      <c r="M13" s="1">
        <f t="shared" si="5"/>
        <v>155610</v>
      </c>
      <c r="N13" s="1">
        <f t="shared" si="6"/>
        <v>56628</v>
      </c>
      <c r="O13" s="1">
        <f t="shared" si="7"/>
        <v>-98982</v>
      </c>
      <c r="P13" s="1">
        <v>5006</v>
      </c>
      <c r="Q13" s="1" t="str">
        <f t="shared" si="4"/>
        <v>Manu</v>
      </c>
      <c r="R13" s="1" t="s">
        <v>100</v>
      </c>
      <c r="S13" s="1" t="s">
        <v>110</v>
      </c>
      <c r="T13" s="1" t="s">
        <v>106</v>
      </c>
    </row>
    <row r="14" spans="2:20" x14ac:dyDescent="0.3">
      <c r="B14" s="1" t="s">
        <v>23</v>
      </c>
      <c r="C14" s="3">
        <f>C12+1</f>
        <v>45664</v>
      </c>
      <c r="D14" s="15" t="str">
        <f>TEXT(Tabela_Vendas[[#This Row],[Data da Venda]],"mmmm")</f>
        <v>janeiro</v>
      </c>
      <c r="E14" s="18">
        <f>YEAR(Tabela_Vendas[[#This Row],[Data da Venda]])</f>
        <v>2025</v>
      </c>
      <c r="F14" s="1">
        <f t="shared" ref="F14" si="22">F12+1</f>
        <v>1007</v>
      </c>
      <c r="G14" s="1" t="str">
        <f t="shared" si="0"/>
        <v>marcela</v>
      </c>
      <c r="H14" s="1">
        <f t="shared" si="10"/>
        <v>9025</v>
      </c>
      <c r="I14" s="1" t="str">
        <f t="shared" si="1"/>
        <v>gola</v>
      </c>
      <c r="J14" s="1">
        <f t="shared" si="2"/>
        <v>45</v>
      </c>
      <c r="K14" s="1">
        <f t="shared" si="3"/>
        <v>23</v>
      </c>
      <c r="L14" s="1">
        <v>4</v>
      </c>
      <c r="M14" s="1">
        <f t="shared" si="5"/>
        <v>180</v>
      </c>
      <c r="N14" s="1">
        <f t="shared" si="6"/>
        <v>92</v>
      </c>
      <c r="O14" s="1">
        <f t="shared" si="7"/>
        <v>-88</v>
      </c>
      <c r="P14" s="1">
        <v>5001</v>
      </c>
      <c r="Q14" s="1" t="str">
        <f t="shared" si="4"/>
        <v>Judas</v>
      </c>
      <c r="R14" s="1" t="s">
        <v>114</v>
      </c>
      <c r="S14" s="1" t="s">
        <v>115</v>
      </c>
      <c r="T14" s="1" t="s">
        <v>104</v>
      </c>
    </row>
    <row r="15" spans="2:20" x14ac:dyDescent="0.3">
      <c r="B15" s="1" t="s">
        <v>24</v>
      </c>
      <c r="C15" s="3">
        <f>C14</f>
        <v>45664</v>
      </c>
      <c r="D15" s="15" t="str">
        <f>TEXT(Tabela_Vendas[[#This Row],[Data da Venda]],"mmmm")</f>
        <v>janeiro</v>
      </c>
      <c r="E15" s="18">
        <f>YEAR(Tabela_Vendas[[#This Row],[Data da Venda]])</f>
        <v>2025</v>
      </c>
      <c r="F15" s="1">
        <f t="shared" ref="F15" si="23">F14+1</f>
        <v>1008</v>
      </c>
      <c r="G15" s="1" t="str">
        <f t="shared" si="0"/>
        <v>uno</v>
      </c>
      <c r="H15" s="1">
        <f t="shared" si="10"/>
        <v>9027</v>
      </c>
      <c r="I15" s="1" t="str">
        <f t="shared" si="1"/>
        <v>blusa de frio</v>
      </c>
      <c r="J15" s="1">
        <f t="shared" si="2"/>
        <v>457</v>
      </c>
      <c r="K15" s="1">
        <f t="shared" si="3"/>
        <v>12</v>
      </c>
      <c r="L15" s="1">
        <v>4</v>
      </c>
      <c r="M15" s="1">
        <f t="shared" si="5"/>
        <v>1828</v>
      </c>
      <c r="N15" s="1">
        <f t="shared" si="6"/>
        <v>48</v>
      </c>
      <c r="O15" s="1">
        <f t="shared" si="7"/>
        <v>-1780</v>
      </c>
      <c r="P15" s="1">
        <v>5002</v>
      </c>
      <c r="Q15" s="1" t="str">
        <f t="shared" si="4"/>
        <v>Sam</v>
      </c>
      <c r="R15" s="1" t="s">
        <v>101</v>
      </c>
      <c r="S15" s="1" t="s">
        <v>116</v>
      </c>
      <c r="T15" s="1" t="s">
        <v>105</v>
      </c>
    </row>
    <row r="16" spans="2:20" x14ac:dyDescent="0.3">
      <c r="B16" s="1" t="s">
        <v>25</v>
      </c>
      <c r="C16" s="3">
        <f t="shared" ref="C16:F16" si="24">C14+1</f>
        <v>45665</v>
      </c>
      <c r="D16" s="15" t="str">
        <f>TEXT(Tabela_Vendas[[#This Row],[Data da Venda]],"mmmm")</f>
        <v>janeiro</v>
      </c>
      <c r="E16" s="18">
        <f>YEAR(Tabela_Vendas[[#This Row],[Data da Venda]])</f>
        <v>2025</v>
      </c>
      <c r="F16" s="1">
        <f t="shared" si="24"/>
        <v>1008</v>
      </c>
      <c r="G16" s="1" t="str">
        <f t="shared" si="0"/>
        <v>uno</v>
      </c>
      <c r="H16" s="1">
        <f t="shared" si="10"/>
        <v>9029</v>
      </c>
      <c r="I16" s="1" t="str">
        <f t="shared" si="1"/>
        <v>vestido</v>
      </c>
      <c r="J16" s="1">
        <f t="shared" si="2"/>
        <v>6554</v>
      </c>
      <c r="K16" s="1">
        <f t="shared" si="3"/>
        <v>4432</v>
      </c>
      <c r="L16" s="1">
        <v>3</v>
      </c>
      <c r="M16" s="1">
        <f t="shared" si="5"/>
        <v>19662</v>
      </c>
      <c r="N16" s="1">
        <f t="shared" si="6"/>
        <v>13296</v>
      </c>
      <c r="O16" s="1">
        <f t="shared" si="7"/>
        <v>-6366</v>
      </c>
      <c r="P16" s="1">
        <v>5006</v>
      </c>
      <c r="Q16" s="1" t="str">
        <f t="shared" si="4"/>
        <v>Manu</v>
      </c>
      <c r="R16" s="1" t="s">
        <v>102</v>
      </c>
      <c r="S16" s="1" t="s">
        <v>117</v>
      </c>
      <c r="T16" s="1" t="s">
        <v>120</v>
      </c>
    </row>
    <row r="17" spans="2:20" x14ac:dyDescent="0.3">
      <c r="B17" s="1" t="s">
        <v>26</v>
      </c>
      <c r="C17" s="3">
        <f t="shared" ref="C17" si="25">C16</f>
        <v>45665</v>
      </c>
      <c r="D17" s="15" t="str">
        <f>TEXT(Tabela_Vendas[[#This Row],[Data da Venda]],"mmmm")</f>
        <v>janeiro</v>
      </c>
      <c r="E17" s="18">
        <f>YEAR(Tabela_Vendas[[#This Row],[Data da Venda]])</f>
        <v>2025</v>
      </c>
      <c r="F17" s="1">
        <f t="shared" ref="F17" si="26">F16+1</f>
        <v>1009</v>
      </c>
      <c r="G17" s="1" t="str">
        <f t="shared" si="0"/>
        <v>luna</v>
      </c>
      <c r="H17" s="1">
        <f t="shared" si="10"/>
        <v>9031</v>
      </c>
      <c r="I17" s="1" t="str">
        <f t="shared" si="1"/>
        <v>argola</v>
      </c>
      <c r="J17" s="1">
        <f t="shared" si="2"/>
        <v>56</v>
      </c>
      <c r="K17" s="1">
        <f t="shared" si="3"/>
        <v>424</v>
      </c>
      <c r="L17" s="1">
        <v>345</v>
      </c>
      <c r="M17" s="1">
        <f t="shared" si="5"/>
        <v>19320</v>
      </c>
      <c r="N17" s="1">
        <f t="shared" si="6"/>
        <v>146280</v>
      </c>
      <c r="O17" s="1">
        <f t="shared" si="7"/>
        <v>126960</v>
      </c>
      <c r="P17" s="1">
        <v>5003</v>
      </c>
      <c r="Q17" s="1" t="str">
        <f t="shared" si="4"/>
        <v>Dean</v>
      </c>
      <c r="R17" s="1" t="s">
        <v>103</v>
      </c>
      <c r="S17" s="1" t="s">
        <v>118</v>
      </c>
      <c r="T17" s="1" t="s">
        <v>119</v>
      </c>
    </row>
    <row r="18" spans="2:20" x14ac:dyDescent="0.3">
      <c r="B18" s="1" t="s">
        <v>27</v>
      </c>
      <c r="C18" s="3">
        <f t="shared" ref="C18:F18" si="27">C16+1</f>
        <v>45666</v>
      </c>
      <c r="D18" s="15" t="str">
        <f>TEXT(Tabela_Vendas[[#This Row],[Data da Venda]],"mmmm")</f>
        <v>janeiro</v>
      </c>
      <c r="E18" s="18">
        <f>YEAR(Tabela_Vendas[[#This Row],[Data da Venda]])</f>
        <v>2025</v>
      </c>
      <c r="F18" s="1">
        <f t="shared" si="27"/>
        <v>1009</v>
      </c>
      <c r="G18" s="1" t="str">
        <f t="shared" si="0"/>
        <v>luna</v>
      </c>
      <c r="H18" s="1">
        <f t="shared" si="10"/>
        <v>9033</v>
      </c>
      <c r="I18" s="1" t="str">
        <f t="shared" si="1"/>
        <v>saia</v>
      </c>
      <c r="J18" s="1">
        <f t="shared" si="2"/>
        <v>56</v>
      </c>
      <c r="K18" s="1">
        <f t="shared" si="3"/>
        <v>234</v>
      </c>
      <c r="L18" s="1">
        <v>234</v>
      </c>
      <c r="M18" s="1">
        <f t="shared" si="5"/>
        <v>13104</v>
      </c>
      <c r="N18" s="1">
        <f t="shared" si="6"/>
        <v>54756</v>
      </c>
      <c r="O18" s="1">
        <f t="shared" si="7"/>
        <v>41652</v>
      </c>
      <c r="P18" s="1">
        <v>5004</v>
      </c>
      <c r="Q18" s="1" t="str">
        <f t="shared" si="4"/>
        <v>Pritt</v>
      </c>
      <c r="R18" s="1" t="s">
        <v>100</v>
      </c>
      <c r="S18" s="1" t="s">
        <v>110</v>
      </c>
      <c r="T18" s="1" t="s">
        <v>106</v>
      </c>
    </row>
    <row r="19" spans="2:20" x14ac:dyDescent="0.3">
      <c r="B19" s="1" t="s">
        <v>28</v>
      </c>
      <c r="C19" s="3">
        <v>43505</v>
      </c>
      <c r="D19" s="15" t="str">
        <f>TEXT(Tabela_Vendas[[#This Row],[Data da Venda]],"mmmm")</f>
        <v>fevereiro</v>
      </c>
      <c r="E19" s="18">
        <f>YEAR(Tabela_Vendas[[#This Row],[Data da Venda]])</f>
        <v>2019</v>
      </c>
      <c r="F19" s="1">
        <f t="shared" ref="F19" si="28">F18+1</f>
        <v>1010</v>
      </c>
      <c r="G19" s="1" t="str">
        <f t="shared" si="0"/>
        <v>sofia</v>
      </c>
      <c r="H19" s="1">
        <f t="shared" si="10"/>
        <v>9035</v>
      </c>
      <c r="I19" s="1" t="str">
        <f t="shared" si="1"/>
        <v xml:space="preserve">saia </v>
      </c>
      <c r="J19" s="1">
        <f t="shared" si="2"/>
        <v>90</v>
      </c>
      <c r="K19" s="1">
        <f t="shared" si="3"/>
        <v>342</v>
      </c>
      <c r="L19" s="1">
        <v>34</v>
      </c>
      <c r="M19" s="1">
        <f t="shared" si="5"/>
        <v>3060</v>
      </c>
      <c r="N19" s="1">
        <f t="shared" si="6"/>
        <v>11628</v>
      </c>
      <c r="O19" s="1">
        <f t="shared" si="7"/>
        <v>8568</v>
      </c>
      <c r="P19" s="1">
        <v>5003</v>
      </c>
      <c r="Q19" s="1" t="str">
        <f t="shared" si="4"/>
        <v>Dean</v>
      </c>
      <c r="R19" s="1" t="s">
        <v>111</v>
      </c>
      <c r="S19" s="1" t="s">
        <v>111</v>
      </c>
      <c r="T19" s="1" t="s">
        <v>104</v>
      </c>
    </row>
    <row r="20" spans="2:20" x14ac:dyDescent="0.3">
      <c r="B20" s="1" t="s">
        <v>29</v>
      </c>
      <c r="C20" s="3">
        <f t="shared" ref="C20:F20" si="29">C18+1</f>
        <v>45667</v>
      </c>
      <c r="D20" s="15" t="str">
        <f>TEXT(Tabela_Vendas[[#This Row],[Data da Venda]],"mmmm")</f>
        <v>janeiro</v>
      </c>
      <c r="E20" s="18">
        <f>YEAR(Tabela_Vendas[[#This Row],[Data da Venda]])</f>
        <v>2025</v>
      </c>
      <c r="F20" s="1">
        <f t="shared" si="29"/>
        <v>1010</v>
      </c>
      <c r="G20" s="1" t="str">
        <f t="shared" si="0"/>
        <v>sofia</v>
      </c>
      <c r="H20" s="1">
        <f t="shared" si="10"/>
        <v>9037</v>
      </c>
      <c r="I20" s="1" t="str">
        <f t="shared" si="1"/>
        <v>short saia</v>
      </c>
      <c r="J20" s="1">
        <f t="shared" si="2"/>
        <v>54</v>
      </c>
      <c r="K20" s="1">
        <f t="shared" si="3"/>
        <v>234</v>
      </c>
      <c r="L20" s="1">
        <v>34</v>
      </c>
      <c r="M20" s="1">
        <f t="shared" si="5"/>
        <v>1836</v>
      </c>
      <c r="N20" s="1">
        <f t="shared" si="6"/>
        <v>7956</v>
      </c>
      <c r="O20" s="1">
        <f t="shared" si="7"/>
        <v>6120</v>
      </c>
      <c r="P20" s="1">
        <v>5005</v>
      </c>
      <c r="Q20" s="1" t="str">
        <f t="shared" si="4"/>
        <v>Adobe</v>
      </c>
      <c r="R20" s="1" t="s">
        <v>112</v>
      </c>
      <c r="S20" s="1" t="s">
        <v>113</v>
      </c>
      <c r="T20" s="1" t="s">
        <v>105</v>
      </c>
    </row>
    <row r="21" spans="2:20" x14ac:dyDescent="0.3">
      <c r="B21" s="1" t="s">
        <v>30</v>
      </c>
      <c r="C21" s="3">
        <f t="shared" ref="C21" si="30">C20</f>
        <v>45667</v>
      </c>
      <c r="D21" s="15" t="str">
        <f>TEXT(Tabela_Vendas[[#This Row],[Data da Venda]],"mmmm")</f>
        <v>janeiro</v>
      </c>
      <c r="E21" s="18">
        <f>YEAR(Tabela_Vendas[[#This Row],[Data da Venda]])</f>
        <v>2025</v>
      </c>
      <c r="F21" s="1">
        <f t="shared" ref="F21" si="31">F20+1</f>
        <v>1011</v>
      </c>
      <c r="G21" s="1" t="str">
        <f t="shared" si="0"/>
        <v>armando</v>
      </c>
      <c r="H21" s="1">
        <f t="shared" si="10"/>
        <v>9039</v>
      </c>
      <c r="I21" s="1" t="str">
        <f t="shared" si="1"/>
        <v>vestido innfantil</v>
      </c>
      <c r="J21" s="1">
        <f t="shared" si="2"/>
        <v>45</v>
      </c>
      <c r="K21" s="1">
        <f t="shared" si="3"/>
        <v>423</v>
      </c>
      <c r="L21" s="1">
        <v>34</v>
      </c>
      <c r="M21" s="1">
        <f t="shared" si="5"/>
        <v>1530</v>
      </c>
      <c r="N21" s="1">
        <f t="shared" si="6"/>
        <v>14382</v>
      </c>
      <c r="O21" s="1">
        <f t="shared" si="7"/>
        <v>12852</v>
      </c>
      <c r="P21" s="1">
        <v>5006</v>
      </c>
      <c r="Q21" s="1" t="str">
        <f t="shared" si="4"/>
        <v>Manu</v>
      </c>
      <c r="R21" s="1" t="s">
        <v>100</v>
      </c>
      <c r="S21" s="1" t="s">
        <v>110</v>
      </c>
      <c r="T21" s="1" t="s">
        <v>120</v>
      </c>
    </row>
    <row r="22" spans="2:20" x14ac:dyDescent="0.3">
      <c r="B22" s="1" t="s">
        <v>31</v>
      </c>
      <c r="C22" s="3">
        <f t="shared" ref="C22:F22" si="32">C20+1</f>
        <v>45668</v>
      </c>
      <c r="D22" s="15" t="str">
        <f>TEXT(Tabela_Vendas[[#This Row],[Data da Venda]],"mmmm")</f>
        <v>janeiro</v>
      </c>
      <c r="E22" s="18">
        <f>YEAR(Tabela_Vendas[[#This Row],[Data da Venda]])</f>
        <v>2025</v>
      </c>
      <c r="F22" s="1">
        <f t="shared" si="32"/>
        <v>1011</v>
      </c>
      <c r="G22" s="1" t="str">
        <f t="shared" si="0"/>
        <v>armando</v>
      </c>
      <c r="H22" s="1">
        <f t="shared" si="10"/>
        <v>9041</v>
      </c>
      <c r="I22" s="1" t="str">
        <f t="shared" si="1"/>
        <v>Tênis de corrida</v>
      </c>
      <c r="J22" s="1">
        <f t="shared" si="2"/>
        <v>67</v>
      </c>
      <c r="K22" s="1">
        <f t="shared" si="3"/>
        <v>243</v>
      </c>
      <c r="L22" s="1">
        <v>34</v>
      </c>
      <c r="M22" s="1">
        <f t="shared" si="5"/>
        <v>2278</v>
      </c>
      <c r="N22" s="1">
        <f t="shared" si="6"/>
        <v>8262</v>
      </c>
      <c r="O22" s="1">
        <f t="shared" si="7"/>
        <v>5984</v>
      </c>
      <c r="P22" s="1">
        <v>5001</v>
      </c>
      <c r="Q22" s="1" t="str">
        <f t="shared" si="4"/>
        <v>Judas</v>
      </c>
      <c r="R22" s="1" t="s">
        <v>114</v>
      </c>
      <c r="S22" s="1" t="s">
        <v>115</v>
      </c>
      <c r="T22" s="1" t="s">
        <v>119</v>
      </c>
    </row>
    <row r="23" spans="2:20" x14ac:dyDescent="0.3">
      <c r="B23" s="1" t="s">
        <v>32</v>
      </c>
      <c r="C23" s="3">
        <v>43596</v>
      </c>
      <c r="D23" s="15" t="str">
        <f>TEXT(Tabela_Vendas[[#This Row],[Data da Venda]],"mmmm")</f>
        <v>maio</v>
      </c>
      <c r="E23" s="18">
        <f>YEAR(Tabela_Vendas[[#This Row],[Data da Venda]])</f>
        <v>2019</v>
      </c>
      <c r="F23" s="1">
        <f t="shared" ref="F23" si="33">F22+1</f>
        <v>1012</v>
      </c>
      <c r="G23" s="1" t="str">
        <f t="shared" si="0"/>
        <v>gerdrudes</v>
      </c>
      <c r="H23" s="1">
        <f t="shared" si="10"/>
        <v>9043</v>
      </c>
      <c r="I23" s="1" t="str">
        <f t="shared" si="1"/>
        <v>sandalha</v>
      </c>
      <c r="J23" s="1">
        <f t="shared" si="2"/>
        <v>45</v>
      </c>
      <c r="K23" s="1">
        <f t="shared" si="3"/>
        <v>243</v>
      </c>
      <c r="L23" s="1">
        <v>34</v>
      </c>
      <c r="M23" s="1">
        <f t="shared" si="5"/>
        <v>1530</v>
      </c>
      <c r="N23" s="1">
        <f t="shared" si="6"/>
        <v>8262</v>
      </c>
      <c r="O23" s="1">
        <f t="shared" si="7"/>
        <v>6732</v>
      </c>
      <c r="P23" s="1">
        <v>5002</v>
      </c>
      <c r="Q23" s="1" t="str">
        <f t="shared" si="4"/>
        <v>Sam</v>
      </c>
      <c r="R23" s="1" t="s">
        <v>101</v>
      </c>
      <c r="S23" s="1" t="s">
        <v>116</v>
      </c>
      <c r="T23" s="1" t="s">
        <v>106</v>
      </c>
    </row>
    <row r="24" spans="2:20" x14ac:dyDescent="0.3">
      <c r="B24" s="1" t="s">
        <v>33</v>
      </c>
      <c r="C24" s="3">
        <f t="shared" ref="C24:F24" si="34">C22+1</f>
        <v>45669</v>
      </c>
      <c r="D24" s="15" t="str">
        <f>TEXT(Tabela_Vendas[[#This Row],[Data da Venda]],"mmmm")</f>
        <v>janeiro</v>
      </c>
      <c r="E24" s="18">
        <f>YEAR(Tabela_Vendas[[#This Row],[Data da Venda]])</f>
        <v>2025</v>
      </c>
      <c r="F24" s="1">
        <f t="shared" si="34"/>
        <v>1012</v>
      </c>
      <c r="G24" s="1" t="str">
        <f t="shared" si="0"/>
        <v>gerdrudes</v>
      </c>
      <c r="H24" s="1">
        <f t="shared" si="10"/>
        <v>9045</v>
      </c>
      <c r="I24" s="1" t="str">
        <f t="shared" si="1"/>
        <v>chinelo</v>
      </c>
      <c r="J24" s="1">
        <f t="shared" si="2"/>
        <v>75</v>
      </c>
      <c r="K24" s="1">
        <f t="shared" si="3"/>
        <v>455</v>
      </c>
      <c r="L24" s="1">
        <v>34</v>
      </c>
      <c r="M24" s="1">
        <f t="shared" si="5"/>
        <v>2550</v>
      </c>
      <c r="N24" s="1">
        <f t="shared" si="6"/>
        <v>15470</v>
      </c>
      <c r="O24" s="1">
        <f t="shared" si="7"/>
        <v>12920</v>
      </c>
      <c r="P24" s="1">
        <v>5003</v>
      </c>
      <c r="Q24" s="1" t="str">
        <f t="shared" si="4"/>
        <v>Dean</v>
      </c>
      <c r="R24" s="1" t="s">
        <v>102</v>
      </c>
      <c r="S24" s="1" t="s">
        <v>117</v>
      </c>
      <c r="T24" s="1" t="s">
        <v>104</v>
      </c>
    </row>
    <row r="25" spans="2:20" x14ac:dyDescent="0.3">
      <c r="B25" s="1" t="s">
        <v>34</v>
      </c>
      <c r="C25" s="3">
        <v>45303</v>
      </c>
      <c r="D25" s="15" t="str">
        <f>TEXT(Tabela_Vendas[[#This Row],[Data da Venda]],"mmmm")</f>
        <v>janeiro</v>
      </c>
      <c r="E25" s="18">
        <f>YEAR(Tabela_Vendas[[#This Row],[Data da Venda]])</f>
        <v>2024</v>
      </c>
      <c r="F25" s="1">
        <f t="shared" ref="F25" si="35">F24+1</f>
        <v>1013</v>
      </c>
      <c r="G25" s="1" t="str">
        <f t="shared" si="0"/>
        <v>gabi</v>
      </c>
      <c r="H25" s="1">
        <f t="shared" si="10"/>
        <v>9047</v>
      </c>
      <c r="I25" s="1" t="str">
        <f t="shared" si="1"/>
        <v>rasterinha</v>
      </c>
      <c r="J25" s="1">
        <f t="shared" si="2"/>
        <v>54</v>
      </c>
      <c r="K25" s="1">
        <f t="shared" si="3"/>
        <v>424</v>
      </c>
      <c r="L25" s="1">
        <v>34</v>
      </c>
      <c r="M25" s="1">
        <f t="shared" si="5"/>
        <v>1836</v>
      </c>
      <c r="N25" s="1">
        <f t="shared" si="6"/>
        <v>14416</v>
      </c>
      <c r="O25" s="1">
        <f t="shared" si="7"/>
        <v>12580</v>
      </c>
      <c r="P25" s="1">
        <v>5004</v>
      </c>
      <c r="Q25" s="1" t="str">
        <f t="shared" si="4"/>
        <v>Pritt</v>
      </c>
      <c r="R25" s="1" t="s">
        <v>103</v>
      </c>
      <c r="S25" s="1" t="s">
        <v>118</v>
      </c>
      <c r="T25" s="1" t="s">
        <v>105</v>
      </c>
    </row>
    <row r="26" spans="2:20" x14ac:dyDescent="0.3">
      <c r="B26" s="1" t="s">
        <v>35</v>
      </c>
      <c r="C26" s="3">
        <f t="shared" ref="C26:F26" si="36">C24+1</f>
        <v>45670</v>
      </c>
      <c r="D26" s="15" t="str">
        <f>TEXT(Tabela_Vendas[[#This Row],[Data da Venda]],"mmmm")</f>
        <v>janeiro</v>
      </c>
      <c r="E26" s="18">
        <f>YEAR(Tabela_Vendas[[#This Row],[Data da Venda]])</f>
        <v>2025</v>
      </c>
      <c r="F26" s="1">
        <f t="shared" si="36"/>
        <v>1013</v>
      </c>
      <c r="G26" s="1" t="str">
        <f t="shared" si="0"/>
        <v>gabi</v>
      </c>
      <c r="H26" s="1">
        <f t="shared" si="10"/>
        <v>9049</v>
      </c>
      <c r="I26" s="1" t="str">
        <f t="shared" si="1"/>
        <v>sapato</v>
      </c>
      <c r="J26" s="1">
        <f t="shared" si="2"/>
        <v>22</v>
      </c>
      <c r="K26" s="1">
        <f t="shared" si="3"/>
        <v>355</v>
      </c>
      <c r="L26" s="1">
        <v>34</v>
      </c>
      <c r="M26" s="1">
        <f t="shared" si="5"/>
        <v>748</v>
      </c>
      <c r="N26" s="1">
        <f t="shared" si="6"/>
        <v>12070</v>
      </c>
      <c r="O26" s="1">
        <f t="shared" si="7"/>
        <v>11322</v>
      </c>
      <c r="P26" s="1">
        <v>5005</v>
      </c>
      <c r="Q26" s="1" t="str">
        <f t="shared" si="4"/>
        <v>Adobe</v>
      </c>
      <c r="R26" s="1" t="s">
        <v>100</v>
      </c>
      <c r="S26" s="1" t="s">
        <v>110</v>
      </c>
      <c r="T26" s="1" t="s">
        <v>120</v>
      </c>
    </row>
    <row r="27" spans="2:20" x14ac:dyDescent="0.3">
      <c r="B27" s="1" t="s">
        <v>36</v>
      </c>
      <c r="C27" s="3">
        <v>44209</v>
      </c>
      <c r="D27" s="15" t="str">
        <f>TEXT(Tabela_Vendas[[#This Row],[Data da Venda]],"mmmm")</f>
        <v>janeiro</v>
      </c>
      <c r="E27" s="18">
        <f>YEAR(Tabela_Vendas[[#This Row],[Data da Venda]])</f>
        <v>2021</v>
      </c>
      <c r="F27" s="1">
        <f t="shared" ref="F27" si="37">F26+1</f>
        <v>1014</v>
      </c>
      <c r="G27" s="1" t="str">
        <f t="shared" si="0"/>
        <v>amanda</v>
      </c>
      <c r="H27" s="1">
        <f t="shared" si="10"/>
        <v>9051</v>
      </c>
      <c r="I27" s="1" t="str">
        <f t="shared" si="1"/>
        <v>capus</v>
      </c>
      <c r="J27" s="1">
        <f t="shared" si="2"/>
        <v>43</v>
      </c>
      <c r="K27" s="1">
        <f t="shared" si="3"/>
        <v>89</v>
      </c>
      <c r="L27" s="1">
        <v>34</v>
      </c>
      <c r="M27" s="1">
        <f t="shared" si="5"/>
        <v>1462</v>
      </c>
      <c r="N27" s="1">
        <f t="shared" si="6"/>
        <v>3026</v>
      </c>
      <c r="O27" s="1">
        <f t="shared" si="7"/>
        <v>1564</v>
      </c>
      <c r="P27" s="1">
        <v>5006</v>
      </c>
      <c r="Q27" s="1" t="str">
        <f t="shared" si="4"/>
        <v>Manu</v>
      </c>
      <c r="R27" s="1" t="s">
        <v>111</v>
      </c>
      <c r="S27" s="1" t="s">
        <v>111</v>
      </c>
      <c r="T27" s="1" t="s">
        <v>119</v>
      </c>
    </row>
    <row r="28" spans="2:20" x14ac:dyDescent="0.3">
      <c r="B28" s="1" t="s">
        <v>37</v>
      </c>
      <c r="C28" s="3">
        <f t="shared" ref="C28:F28" si="38">C26+1</f>
        <v>45671</v>
      </c>
      <c r="D28" s="15" t="str">
        <f>TEXT(Tabela_Vendas[[#This Row],[Data da Venda]],"mmmm")</f>
        <v>janeiro</v>
      </c>
      <c r="E28" s="18">
        <f>YEAR(Tabela_Vendas[[#This Row],[Data da Venda]])</f>
        <v>2025</v>
      </c>
      <c r="F28" s="1">
        <f t="shared" si="38"/>
        <v>1014</v>
      </c>
      <c r="G28" s="1" t="str">
        <f t="shared" si="0"/>
        <v>amanda</v>
      </c>
      <c r="H28" s="1">
        <f t="shared" si="10"/>
        <v>9053</v>
      </c>
      <c r="I28" s="1" t="str">
        <f t="shared" si="1"/>
        <v>bone</v>
      </c>
      <c r="J28" s="1">
        <f t="shared" si="2"/>
        <v>12</v>
      </c>
      <c r="K28" s="1">
        <f t="shared" si="3"/>
        <v>89</v>
      </c>
      <c r="L28" s="1">
        <v>34</v>
      </c>
      <c r="M28" s="1">
        <f t="shared" si="5"/>
        <v>408</v>
      </c>
      <c r="N28" s="1">
        <f t="shared" si="6"/>
        <v>3026</v>
      </c>
      <c r="O28" s="1">
        <f t="shared" si="7"/>
        <v>2618</v>
      </c>
      <c r="P28" s="1">
        <v>5004</v>
      </c>
      <c r="Q28" s="1" t="str">
        <f t="shared" si="4"/>
        <v>Pritt</v>
      </c>
      <c r="R28" s="1" t="s">
        <v>112</v>
      </c>
      <c r="S28" s="1" t="s">
        <v>113</v>
      </c>
      <c r="T28" s="1" t="s">
        <v>106</v>
      </c>
    </row>
    <row r="29" spans="2:20" x14ac:dyDescent="0.3">
      <c r="B29" s="1" t="s">
        <v>38</v>
      </c>
      <c r="C29" s="3">
        <v>43538</v>
      </c>
      <c r="D29" s="15" t="str">
        <f>TEXT(Tabela_Vendas[[#This Row],[Data da Venda]],"mmmm")</f>
        <v>março</v>
      </c>
      <c r="E29" s="18">
        <f>YEAR(Tabela_Vendas[[#This Row],[Data da Venda]])</f>
        <v>2019</v>
      </c>
      <c r="F29" s="1">
        <f t="shared" ref="F29" si="39">F28+1</f>
        <v>1015</v>
      </c>
      <c r="G29" s="1" t="str">
        <f t="shared" si="0"/>
        <v>xuxa</v>
      </c>
      <c r="H29" s="1">
        <f t="shared" si="10"/>
        <v>9055</v>
      </c>
      <c r="I29" s="1" t="str">
        <f t="shared" si="1"/>
        <v>cinto</v>
      </c>
      <c r="J29" s="1">
        <f t="shared" si="2"/>
        <v>69</v>
      </c>
      <c r="K29" s="1">
        <f t="shared" si="3"/>
        <v>65</v>
      </c>
      <c r="L29" s="1">
        <v>34</v>
      </c>
      <c r="M29" s="1">
        <f t="shared" si="5"/>
        <v>2346</v>
      </c>
      <c r="N29" s="1">
        <f t="shared" si="6"/>
        <v>2210</v>
      </c>
      <c r="O29" s="1">
        <f t="shared" si="7"/>
        <v>-136</v>
      </c>
      <c r="P29" s="1">
        <v>5004</v>
      </c>
      <c r="Q29" s="1" t="str">
        <f t="shared" si="4"/>
        <v>Pritt</v>
      </c>
      <c r="R29" s="1" t="s">
        <v>100</v>
      </c>
      <c r="S29" s="1" t="s">
        <v>110</v>
      </c>
      <c r="T29" s="1" t="s">
        <v>104</v>
      </c>
    </row>
    <row r="30" spans="2:20" x14ac:dyDescent="0.3">
      <c r="B30" s="1" t="s">
        <v>39</v>
      </c>
      <c r="C30" s="3">
        <f t="shared" ref="C30:F30" si="40">C28+1</f>
        <v>45672</v>
      </c>
      <c r="D30" s="15" t="str">
        <f>TEXT(Tabela_Vendas[[#This Row],[Data da Venda]],"mmmm")</f>
        <v>janeiro</v>
      </c>
      <c r="E30" s="18">
        <f>YEAR(Tabela_Vendas[[#This Row],[Data da Venda]])</f>
        <v>2025</v>
      </c>
      <c r="F30" s="1">
        <f t="shared" si="40"/>
        <v>1015</v>
      </c>
      <c r="G30" s="1" t="str">
        <f t="shared" si="0"/>
        <v>xuxa</v>
      </c>
      <c r="H30" s="1">
        <f t="shared" si="10"/>
        <v>9057</v>
      </c>
      <c r="I30" s="1" t="str">
        <f t="shared" si="1"/>
        <v>cinto rosa</v>
      </c>
      <c r="J30" s="1">
        <f t="shared" si="2"/>
        <v>23</v>
      </c>
      <c r="K30" s="1">
        <f t="shared" si="3"/>
        <v>56</v>
      </c>
      <c r="L30" s="1">
        <v>34</v>
      </c>
      <c r="M30" s="1">
        <f t="shared" si="5"/>
        <v>782</v>
      </c>
      <c r="N30" s="1">
        <f t="shared" si="6"/>
        <v>1904</v>
      </c>
      <c r="O30" s="1">
        <f t="shared" si="7"/>
        <v>1122</v>
      </c>
      <c r="P30" s="1">
        <v>5005</v>
      </c>
      <c r="Q30" s="1" t="str">
        <f t="shared" si="4"/>
        <v>Adobe</v>
      </c>
      <c r="R30" s="1" t="s">
        <v>114</v>
      </c>
      <c r="S30" s="1" t="s">
        <v>115</v>
      </c>
      <c r="T30" s="1" t="s">
        <v>119</v>
      </c>
    </row>
  </sheetData>
  <phoneticPr fontId="3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CBEDE-3777-4B7C-A182-83443FA11C7B}">
  <dimension ref="A3:U26"/>
  <sheetViews>
    <sheetView zoomScaleNormal="100" workbookViewId="0">
      <selection activeCell="H14" sqref="H14"/>
    </sheetView>
  </sheetViews>
  <sheetFormatPr defaultRowHeight="14.4" x14ac:dyDescent="0.3"/>
  <cols>
    <col min="1" max="1" width="17.21875" bestFit="1" customWidth="1"/>
    <col min="2" max="2" width="24.6640625" bestFit="1" customWidth="1"/>
    <col min="3" max="3" width="3" bestFit="1" customWidth="1"/>
    <col min="4" max="4" width="4" bestFit="1" customWidth="1"/>
    <col min="5" max="5" width="4" customWidth="1"/>
    <col min="6" max="6" width="14" bestFit="1" customWidth="1"/>
    <col min="7" max="7" width="24.6640625" bestFit="1" customWidth="1"/>
    <col min="8" max="8" width="25.21875" bestFit="1" customWidth="1"/>
    <col min="9" max="9" width="24.6640625" bestFit="1" customWidth="1"/>
    <col min="10" max="10" width="17.21875" bestFit="1" customWidth="1"/>
    <col min="11" max="11" width="25.21875" bestFit="1" customWidth="1"/>
    <col min="12" max="12" width="5.77734375" bestFit="1" customWidth="1"/>
    <col min="13" max="13" width="7.6640625" bestFit="1" customWidth="1"/>
    <col min="14" max="14" width="4" bestFit="1" customWidth="1"/>
    <col min="15" max="15" width="10" bestFit="1" customWidth="1"/>
    <col min="16" max="16" width="13.109375" bestFit="1" customWidth="1"/>
    <col min="17" max="17" width="17.21875" bestFit="1" customWidth="1"/>
    <col min="18" max="18" width="24.6640625" bestFit="1" customWidth="1"/>
    <col min="19" max="19" width="14.109375" bestFit="1" customWidth="1"/>
    <col min="20" max="20" width="17.21875" bestFit="1" customWidth="1"/>
    <col min="21" max="21" width="24.6640625" bestFit="1" customWidth="1"/>
    <col min="22" max="23" width="12" bestFit="1" customWidth="1"/>
    <col min="24" max="24" width="12.33203125" bestFit="1" customWidth="1"/>
    <col min="25" max="25" width="12" bestFit="1" customWidth="1"/>
    <col min="26" max="26" width="13.109375" bestFit="1" customWidth="1"/>
    <col min="27" max="28" width="12" bestFit="1" customWidth="1"/>
    <col min="29" max="29" width="10.44140625" bestFit="1" customWidth="1"/>
    <col min="30" max="30" width="9.44140625" bestFit="1" customWidth="1"/>
    <col min="31" max="32" width="12" bestFit="1" customWidth="1"/>
    <col min="33" max="37" width="13.109375" bestFit="1" customWidth="1"/>
    <col min="38" max="38" width="12" bestFit="1" customWidth="1"/>
    <col min="39" max="39" width="13.109375" bestFit="1" customWidth="1"/>
    <col min="40" max="40" width="10.44140625" bestFit="1" customWidth="1"/>
    <col min="41" max="41" width="12" bestFit="1" customWidth="1"/>
    <col min="42" max="42" width="14.33203125" bestFit="1" customWidth="1"/>
    <col min="43" max="43" width="13.109375" bestFit="1" customWidth="1"/>
    <col min="44" max="44" width="14.6640625" bestFit="1" customWidth="1"/>
    <col min="45" max="45" width="14.109375" bestFit="1" customWidth="1"/>
  </cols>
  <sheetData>
    <row r="3" spans="1:21" x14ac:dyDescent="0.3">
      <c r="A3" s="9" t="s">
        <v>124</v>
      </c>
      <c r="B3" t="s">
        <v>123</v>
      </c>
      <c r="F3" s="9" t="s">
        <v>124</v>
      </c>
      <c r="G3" t="s">
        <v>123</v>
      </c>
      <c r="I3" s="24" t="s">
        <v>123</v>
      </c>
      <c r="J3" s="24" t="s">
        <v>121</v>
      </c>
      <c r="K3" s="25"/>
      <c r="L3" s="25"/>
      <c r="M3" s="25"/>
      <c r="N3" s="25"/>
      <c r="O3" s="25"/>
      <c r="Q3" s="9" t="s">
        <v>124</v>
      </c>
      <c r="R3" t="s">
        <v>123</v>
      </c>
      <c r="T3" s="9" t="s">
        <v>124</v>
      </c>
      <c r="U3" t="s">
        <v>123</v>
      </c>
    </row>
    <row r="4" spans="1:21" x14ac:dyDescent="0.3">
      <c r="A4" s="10" t="s">
        <v>64</v>
      </c>
      <c r="B4" s="23">
        <v>4114</v>
      </c>
      <c r="F4" s="10" t="s">
        <v>127</v>
      </c>
      <c r="G4" s="11">
        <v>421065</v>
      </c>
      <c r="I4" s="24" t="s">
        <v>124</v>
      </c>
      <c r="J4" s="25" t="s">
        <v>120</v>
      </c>
      <c r="K4" s="25" t="s">
        <v>106</v>
      </c>
      <c r="L4" s="25" t="s">
        <v>105</v>
      </c>
      <c r="M4" s="25" t="s">
        <v>119</v>
      </c>
      <c r="N4" s="25" t="s">
        <v>104</v>
      </c>
      <c r="O4" s="25" t="s">
        <v>122</v>
      </c>
      <c r="Q4" s="10" t="s">
        <v>120</v>
      </c>
      <c r="R4" s="11">
        <v>42593</v>
      </c>
      <c r="T4" s="10" t="s">
        <v>63</v>
      </c>
      <c r="U4" s="11">
        <v>6052</v>
      </c>
    </row>
    <row r="5" spans="1:21" x14ac:dyDescent="0.3">
      <c r="A5" s="10" t="s">
        <v>43</v>
      </c>
      <c r="B5" s="23">
        <v>4522</v>
      </c>
      <c r="F5" s="10" t="s">
        <v>122</v>
      </c>
      <c r="G5" s="11">
        <v>421065</v>
      </c>
      <c r="I5" s="26" t="s">
        <v>53</v>
      </c>
      <c r="J5" s="25">
        <v>12070</v>
      </c>
      <c r="K5" s="25"/>
      <c r="L5" s="25">
        <v>7956</v>
      </c>
      <c r="M5" s="25">
        <v>13798</v>
      </c>
      <c r="N5" s="25"/>
      <c r="O5" s="25">
        <v>33824</v>
      </c>
      <c r="Q5" s="10" t="s">
        <v>106</v>
      </c>
      <c r="R5" s="11">
        <v>131811</v>
      </c>
      <c r="T5" s="10" t="s">
        <v>42</v>
      </c>
      <c r="U5" s="11">
        <v>9588</v>
      </c>
    </row>
    <row r="6" spans="1:21" x14ac:dyDescent="0.3">
      <c r="A6" s="10" t="s">
        <v>63</v>
      </c>
      <c r="B6" s="23">
        <v>6052</v>
      </c>
      <c r="I6" s="26" t="s">
        <v>51</v>
      </c>
      <c r="J6" s="25"/>
      <c r="K6" s="25"/>
      <c r="L6" s="25">
        <v>4182</v>
      </c>
      <c r="M6" s="25">
        <v>146280</v>
      </c>
      <c r="N6" s="25">
        <v>28960</v>
      </c>
      <c r="O6" s="25">
        <v>179422</v>
      </c>
      <c r="Q6" s="10" t="s">
        <v>105</v>
      </c>
      <c r="R6" s="11">
        <v>31453</v>
      </c>
      <c r="T6" s="10" t="s">
        <v>60</v>
      </c>
      <c r="U6" s="11">
        <v>22644</v>
      </c>
    </row>
    <row r="7" spans="1:21" x14ac:dyDescent="0.3">
      <c r="A7" s="10" t="s">
        <v>46</v>
      </c>
      <c r="B7" s="23">
        <v>7174</v>
      </c>
      <c r="I7" s="26" t="s">
        <v>49</v>
      </c>
      <c r="J7" s="25"/>
      <c r="K7" s="25">
        <v>6479</v>
      </c>
      <c r="L7" s="25"/>
      <c r="M7" s="25">
        <v>17850</v>
      </c>
      <c r="N7" s="25">
        <v>92</v>
      </c>
      <c r="O7" s="25">
        <v>24421</v>
      </c>
      <c r="Q7" s="10" t="s">
        <v>119</v>
      </c>
      <c r="R7" s="11">
        <v>180954</v>
      </c>
      <c r="T7" s="10" t="s">
        <v>43</v>
      </c>
      <c r="U7" s="11">
        <v>4522</v>
      </c>
    </row>
    <row r="8" spans="1:21" x14ac:dyDescent="0.3">
      <c r="A8" s="10" t="s">
        <v>44</v>
      </c>
      <c r="B8" s="23">
        <v>7254</v>
      </c>
      <c r="I8" s="26" t="s">
        <v>54</v>
      </c>
      <c r="J8" s="25">
        <v>30081</v>
      </c>
      <c r="K8" s="25">
        <v>56628</v>
      </c>
      <c r="L8" s="25"/>
      <c r="M8" s="25">
        <v>3026</v>
      </c>
      <c r="N8" s="25"/>
      <c r="O8" s="25">
        <v>89735</v>
      </c>
      <c r="Q8" s="10" t="s">
        <v>104</v>
      </c>
      <c r="R8" s="11">
        <v>34254</v>
      </c>
      <c r="T8" s="10" t="s">
        <v>46</v>
      </c>
      <c r="U8" s="11">
        <v>7174</v>
      </c>
    </row>
    <row r="9" spans="1:21" x14ac:dyDescent="0.3">
      <c r="A9" s="10" t="s">
        <v>45</v>
      </c>
      <c r="B9" s="23">
        <v>7459</v>
      </c>
      <c r="I9" s="26" t="s">
        <v>52</v>
      </c>
      <c r="J9" s="25">
        <v>442</v>
      </c>
      <c r="K9" s="25">
        <v>57782</v>
      </c>
      <c r="L9" s="25">
        <v>19267</v>
      </c>
      <c r="M9" s="25"/>
      <c r="N9" s="25">
        <v>2210</v>
      </c>
      <c r="O9" s="25">
        <v>79701</v>
      </c>
      <c r="Q9" s="10" t="s">
        <v>122</v>
      </c>
      <c r="R9" s="11">
        <v>421065</v>
      </c>
      <c r="T9" s="10" t="s">
        <v>45</v>
      </c>
      <c r="U9" s="11">
        <v>7459</v>
      </c>
    </row>
    <row r="10" spans="1:21" x14ac:dyDescent="0.3">
      <c r="A10" s="10" t="s">
        <v>42</v>
      </c>
      <c r="B10" s="23">
        <v>9588</v>
      </c>
      <c r="I10" s="26" t="s">
        <v>50</v>
      </c>
      <c r="J10" s="25"/>
      <c r="K10" s="25">
        <v>10922</v>
      </c>
      <c r="L10" s="25">
        <v>48</v>
      </c>
      <c r="M10" s="25"/>
      <c r="N10" s="25">
        <v>2992</v>
      </c>
      <c r="O10" s="25">
        <v>13962</v>
      </c>
      <c r="T10" s="10" t="s">
        <v>62</v>
      </c>
      <c r="U10" s="11">
        <v>26486</v>
      </c>
    </row>
    <row r="11" spans="1:21" x14ac:dyDescent="0.3">
      <c r="A11" s="10" t="s">
        <v>55</v>
      </c>
      <c r="B11" s="23">
        <v>11356</v>
      </c>
      <c r="I11" s="26" t="s">
        <v>122</v>
      </c>
      <c r="J11" s="25">
        <v>42593</v>
      </c>
      <c r="K11" s="25">
        <v>131811</v>
      </c>
      <c r="L11" s="25">
        <v>31453</v>
      </c>
      <c r="M11" s="25">
        <v>180954</v>
      </c>
      <c r="N11" s="25">
        <v>34254</v>
      </c>
      <c r="O11" s="25">
        <v>421065</v>
      </c>
      <c r="T11" s="10" t="s">
        <v>61</v>
      </c>
      <c r="U11" s="11">
        <v>23732</v>
      </c>
    </row>
    <row r="12" spans="1:21" x14ac:dyDescent="0.3">
      <c r="A12" s="10" t="s">
        <v>57</v>
      </c>
      <c r="B12" s="23">
        <v>13344</v>
      </c>
      <c r="T12" s="10" t="s">
        <v>44</v>
      </c>
      <c r="U12" s="11">
        <v>7254</v>
      </c>
    </row>
    <row r="13" spans="1:21" x14ac:dyDescent="0.3">
      <c r="A13" s="10" t="s">
        <v>59</v>
      </c>
      <c r="B13" s="23">
        <v>19584</v>
      </c>
      <c r="T13" s="10" t="s">
        <v>58</v>
      </c>
      <c r="U13" s="11">
        <v>201036</v>
      </c>
    </row>
    <row r="14" spans="1:21" x14ac:dyDescent="0.3">
      <c r="A14" s="10" t="s">
        <v>60</v>
      </c>
      <c r="B14" s="23">
        <v>22644</v>
      </c>
      <c r="T14" s="10" t="s">
        <v>56</v>
      </c>
      <c r="U14" s="11">
        <v>56720</v>
      </c>
    </row>
    <row r="15" spans="1:21" x14ac:dyDescent="0.3">
      <c r="A15" s="10" t="s">
        <v>61</v>
      </c>
      <c r="B15" s="23">
        <v>23732</v>
      </c>
      <c r="T15" s="10" t="s">
        <v>55</v>
      </c>
      <c r="U15" s="11">
        <v>11356</v>
      </c>
    </row>
    <row r="16" spans="1:21" x14ac:dyDescent="0.3">
      <c r="A16" s="10" t="s">
        <v>62</v>
      </c>
      <c r="B16" s="23">
        <v>26486</v>
      </c>
      <c r="T16" s="10" t="s">
        <v>59</v>
      </c>
      <c r="U16" s="11">
        <v>19584</v>
      </c>
    </row>
    <row r="17" spans="1:21" x14ac:dyDescent="0.3">
      <c r="A17" s="10" t="s">
        <v>56</v>
      </c>
      <c r="B17" s="23">
        <v>56720</v>
      </c>
      <c r="T17" s="10" t="s">
        <v>57</v>
      </c>
      <c r="U17" s="11">
        <v>13344</v>
      </c>
    </row>
    <row r="18" spans="1:21" x14ac:dyDescent="0.3">
      <c r="A18" s="10" t="s">
        <v>58</v>
      </c>
      <c r="B18" s="23">
        <v>201036</v>
      </c>
      <c r="T18" s="10" t="s">
        <v>64</v>
      </c>
      <c r="U18" s="11">
        <v>4114</v>
      </c>
    </row>
    <row r="19" spans="1:21" x14ac:dyDescent="0.3">
      <c r="A19" s="10" t="s">
        <v>122</v>
      </c>
      <c r="B19" s="23">
        <v>421065</v>
      </c>
      <c r="T19" s="10" t="s">
        <v>122</v>
      </c>
      <c r="U19" s="11">
        <v>421065</v>
      </c>
    </row>
    <row r="24" spans="1:21" x14ac:dyDescent="0.3">
      <c r="B24" t="s">
        <v>123</v>
      </c>
      <c r="F24" t="s">
        <v>128</v>
      </c>
      <c r="H24" t="s">
        <v>129</v>
      </c>
      <c r="J24" s="9" t="s">
        <v>124</v>
      </c>
      <c r="K24" t="s">
        <v>129</v>
      </c>
    </row>
    <row r="25" spans="1:21" x14ac:dyDescent="0.3">
      <c r="B25" s="11">
        <v>421065</v>
      </c>
      <c r="F25" s="11">
        <v>158568</v>
      </c>
      <c r="H25">
        <v>1520</v>
      </c>
      <c r="J25" s="10" t="s">
        <v>84</v>
      </c>
      <c r="K25" s="23">
        <v>345</v>
      </c>
    </row>
    <row r="26" spans="1:21" x14ac:dyDescent="0.3">
      <c r="J26" s="10" t="s">
        <v>122</v>
      </c>
      <c r="K26" s="23">
        <v>345</v>
      </c>
    </row>
  </sheetData>
  <conditionalFormatting pivot="1" sqref="J5:O11">
    <cfRule type="top10" dxfId="9" priority="1" rank="3"/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0D3B6-C47E-4412-BCA9-A901D1BD7D73}">
  <dimension ref="A3:AB39"/>
  <sheetViews>
    <sheetView showGridLines="0" tabSelected="1" topLeftCell="B1" zoomScale="85" zoomScaleNormal="85" workbookViewId="0">
      <selection activeCell="H37" sqref="H37"/>
    </sheetView>
  </sheetViews>
  <sheetFormatPr defaultRowHeight="14.4" x14ac:dyDescent="0.3"/>
  <sheetData>
    <row r="3" spans="2:28" x14ac:dyDescent="0.3"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2:28" x14ac:dyDescent="0.3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2:28" x14ac:dyDescent="0.3"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2:28" x14ac:dyDescent="0.3"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2:28" x14ac:dyDescent="0.3"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2:28" x14ac:dyDescent="0.3"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2:28" x14ac:dyDescent="0.3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</row>
    <row r="10" spans="2:28" x14ac:dyDescent="0.3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</row>
    <row r="11" spans="2:28" x14ac:dyDescent="0.3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</row>
    <row r="12" spans="2:28" x14ac:dyDescent="0.3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</row>
    <row r="13" spans="2:28" x14ac:dyDescent="0.3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</row>
    <row r="14" spans="2:28" x14ac:dyDescent="0.3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</row>
    <row r="15" spans="2:28" x14ac:dyDescent="0.3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</row>
    <row r="16" spans="2:28" x14ac:dyDescent="0.3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</row>
    <row r="17" spans="2:28" x14ac:dyDescent="0.3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</row>
    <row r="18" spans="2:28" x14ac:dyDescent="0.3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</row>
    <row r="19" spans="2:28" x14ac:dyDescent="0.3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</row>
    <row r="20" spans="2:28" x14ac:dyDescent="0.3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</row>
    <row r="21" spans="2:28" x14ac:dyDescent="0.3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</row>
    <row r="22" spans="2:28" x14ac:dyDescent="0.3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</row>
    <row r="23" spans="2:28" x14ac:dyDescent="0.3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</row>
    <row r="24" spans="2:28" x14ac:dyDescent="0.3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</row>
    <row r="25" spans="2:28" x14ac:dyDescent="0.3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</row>
    <row r="26" spans="2:28" x14ac:dyDescent="0.3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</row>
    <row r="27" spans="2:28" x14ac:dyDescent="0.3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</row>
    <row r="28" spans="2:28" x14ac:dyDescent="0.3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</row>
    <row r="29" spans="2:28" x14ac:dyDescent="0.3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</row>
    <row r="30" spans="2:28" x14ac:dyDescent="0.3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</row>
    <row r="31" spans="2:28" x14ac:dyDescent="0.3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</row>
    <row r="32" spans="2:28" x14ac:dyDescent="0.3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</row>
    <row r="33" spans="1:28" x14ac:dyDescent="0.3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</row>
    <row r="34" spans="1:28" x14ac:dyDescent="0.3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</row>
    <row r="35" spans="1:28" x14ac:dyDescent="0.3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</row>
    <row r="36" spans="1:28" x14ac:dyDescent="0.3"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</row>
    <row r="37" spans="1:28" x14ac:dyDescent="0.3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</row>
    <row r="38" spans="1:28" x14ac:dyDescent="0.3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</row>
    <row r="39" spans="1:28" x14ac:dyDescent="0.3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9</vt:i4>
      </vt:variant>
    </vt:vector>
  </HeadingPairs>
  <TitlesOfParts>
    <vt:vector size="15" baseType="lpstr">
      <vt:lpstr>Produtos</vt:lpstr>
      <vt:lpstr>Clientes</vt:lpstr>
      <vt:lpstr>Representantes</vt:lpstr>
      <vt:lpstr>Tabela de Vendas</vt:lpstr>
      <vt:lpstr>Dinamica</vt:lpstr>
      <vt:lpstr>dashboard</vt:lpstr>
      <vt:lpstr>cliente</vt:lpstr>
      <vt:lpstr>lucro</vt:lpstr>
      <vt:lpstr>produ</vt:lpstr>
      <vt:lpstr>produto</vt:lpstr>
      <vt:lpstr>produto_vendido</vt:lpstr>
      <vt:lpstr>repre</vt:lpstr>
      <vt:lpstr>Representantes</vt:lpstr>
      <vt:lpstr>valor_total</vt:lpstr>
      <vt:lpstr>venda_total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MANUELLA SANTOS CRUZ</dc:creator>
  <cp:lastModifiedBy>manuella santos cruz</cp:lastModifiedBy>
  <dcterms:created xsi:type="dcterms:W3CDTF">2026-02-01T15:37:01Z</dcterms:created>
  <dcterms:modified xsi:type="dcterms:W3CDTF">2026-03-01T22:07:34Z</dcterms:modified>
</cp:coreProperties>
</file>